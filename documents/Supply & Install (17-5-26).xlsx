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Anthony\GoldCo\4 - Cost\Pricing Files\1-2-2026\"/>
    </mc:Choice>
  </mc:AlternateContent>
  <xr:revisionPtr revIDLastSave="0" documentId="13_ncr:1_{9DC6665C-49E2-43BF-ACB7-7AF8D58413FD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upascreen" sheetId="6" r:id="rId1"/>
    <sheet name="Data Sheet SS" sheetId="9" r:id="rId2"/>
    <sheet name=" IntrudaGuard" sheetId="7" r:id="rId3"/>
    <sheet name="Date Sheet IG " sheetId="8" r:id="rId4"/>
    <sheet name="Retail Supply Extras" sheetId="5" r:id="rId5"/>
    <sheet name="7mm Diamond" sheetId="1" r:id="rId6"/>
    <sheet name="Data Sheet Grille" sheetId="3" r:id="rId7"/>
    <sheet name="Fly Screens" sheetId="4" r:id="rId8"/>
    <sheet name="DATA_Fly Screens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9" i="1"/>
  <c r="E8" i="1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R17" i="7"/>
  <c r="O7" i="7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C39" i="4"/>
  <c r="C38" i="4"/>
  <c r="C37" i="4"/>
  <c r="C36" i="4"/>
  <c r="C35" i="4"/>
  <c r="C34" i="4"/>
  <c r="K29" i="4"/>
  <c r="J29" i="4"/>
  <c r="I29" i="4"/>
  <c r="H29" i="4"/>
  <c r="G29" i="4"/>
  <c r="F29" i="4"/>
  <c r="E29" i="4"/>
  <c r="D29" i="4"/>
  <c r="K28" i="4"/>
  <c r="J28" i="4"/>
  <c r="I28" i="4"/>
  <c r="H28" i="4"/>
  <c r="G28" i="4"/>
  <c r="F28" i="4"/>
  <c r="E28" i="4"/>
  <c r="D28" i="4"/>
  <c r="K27" i="4"/>
  <c r="J27" i="4"/>
  <c r="I27" i="4"/>
  <c r="H27" i="4"/>
  <c r="G27" i="4"/>
  <c r="F27" i="4"/>
  <c r="E27" i="4"/>
  <c r="D27" i="4"/>
  <c r="K26" i="4"/>
  <c r="J26" i="4"/>
  <c r="I26" i="4"/>
  <c r="H26" i="4"/>
  <c r="G26" i="4"/>
  <c r="F26" i="4"/>
  <c r="E26" i="4"/>
  <c r="D26" i="4"/>
  <c r="K25" i="4"/>
  <c r="J25" i="4"/>
  <c r="I25" i="4"/>
  <c r="H25" i="4"/>
  <c r="G25" i="4"/>
  <c r="F25" i="4"/>
  <c r="E25" i="4"/>
  <c r="D25" i="4"/>
  <c r="K24" i="4"/>
  <c r="J24" i="4"/>
  <c r="I24" i="4"/>
  <c r="H24" i="4"/>
  <c r="G24" i="4"/>
  <c r="F24" i="4"/>
  <c r="E24" i="4"/>
  <c r="D24" i="4"/>
  <c r="C29" i="4"/>
  <c r="C28" i="4"/>
  <c r="C27" i="4"/>
  <c r="C26" i="4"/>
  <c r="C25" i="4"/>
  <c r="C24" i="4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D7" i="7"/>
  <c r="E7" i="7"/>
  <c r="F7" i="7"/>
  <c r="G7" i="7"/>
  <c r="H7" i="7"/>
  <c r="I7" i="7"/>
  <c r="J7" i="7"/>
  <c r="K7" i="7"/>
  <c r="L7" i="7"/>
  <c r="M7" i="7"/>
  <c r="N7" i="7"/>
  <c r="P7" i="7"/>
  <c r="Q7" i="7"/>
  <c r="R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C19" i="7" l="1"/>
  <c r="G6" i="1"/>
  <c r="F7" i="1"/>
  <c r="H7" i="1"/>
  <c r="F8" i="1"/>
  <c r="H8" i="1"/>
  <c r="E9" i="1"/>
  <c r="F9" i="1"/>
  <c r="H9" i="1"/>
  <c r="D10" i="1"/>
  <c r="E10" i="1"/>
  <c r="G10" i="1"/>
  <c r="D11" i="1"/>
  <c r="F11" i="1"/>
  <c r="K11" i="1"/>
  <c r="E12" i="1"/>
  <c r="J12" i="1"/>
  <c r="K12" i="1"/>
  <c r="D13" i="1"/>
  <c r="I13" i="1"/>
  <c r="J13" i="1"/>
  <c r="H14" i="1"/>
  <c r="I14" i="1"/>
  <c r="J14" i="1"/>
  <c r="K14" i="1"/>
  <c r="G15" i="1"/>
  <c r="H15" i="1"/>
  <c r="I15" i="1"/>
  <c r="J15" i="1"/>
  <c r="F16" i="1"/>
  <c r="G16" i="1"/>
  <c r="I16" i="1"/>
  <c r="E17" i="1"/>
  <c r="F17" i="1"/>
  <c r="G17" i="1"/>
  <c r="H17" i="1"/>
  <c r="D18" i="1"/>
  <c r="E18" i="1"/>
  <c r="G18" i="1"/>
  <c r="C19" i="1"/>
  <c r="D19" i="1"/>
  <c r="F19" i="1"/>
  <c r="K19" i="1"/>
  <c r="J19" i="1"/>
  <c r="I19" i="1"/>
  <c r="H19" i="1"/>
  <c r="G19" i="1"/>
  <c r="E19" i="1"/>
  <c r="K18" i="1"/>
  <c r="J18" i="1"/>
  <c r="I18" i="1"/>
  <c r="H18" i="1"/>
  <c r="F18" i="1"/>
  <c r="C18" i="1"/>
  <c r="K17" i="1"/>
  <c r="J17" i="1"/>
  <c r="I17" i="1"/>
  <c r="D17" i="1"/>
  <c r="C17" i="1"/>
  <c r="K16" i="1"/>
  <c r="J16" i="1"/>
  <c r="H16" i="1"/>
  <c r="E16" i="1"/>
  <c r="D16" i="1"/>
  <c r="C16" i="1"/>
  <c r="K15" i="1"/>
  <c r="F15" i="1"/>
  <c r="E15" i="1"/>
  <c r="D15" i="1"/>
  <c r="C15" i="1"/>
  <c r="G14" i="1"/>
  <c r="F14" i="1"/>
  <c r="E14" i="1"/>
  <c r="D14" i="1"/>
  <c r="K13" i="1"/>
  <c r="H13" i="1"/>
  <c r="G13" i="1"/>
  <c r="F13" i="1"/>
  <c r="E13" i="1"/>
  <c r="I12" i="1"/>
  <c r="H12" i="1"/>
  <c r="G12" i="1"/>
  <c r="F12" i="1"/>
  <c r="D12" i="1"/>
  <c r="J11" i="1"/>
  <c r="I11" i="1"/>
  <c r="H11" i="1"/>
  <c r="G11" i="1"/>
  <c r="E11" i="1"/>
  <c r="K10" i="1"/>
  <c r="J10" i="1"/>
  <c r="I10" i="1"/>
  <c r="H10" i="1"/>
  <c r="F10" i="1"/>
  <c r="K9" i="1"/>
  <c r="J9" i="1"/>
  <c r="I9" i="1"/>
  <c r="G9" i="1"/>
  <c r="K8" i="1"/>
  <c r="J8" i="1"/>
  <c r="I8" i="1"/>
  <c r="G8" i="1"/>
  <c r="K7" i="1"/>
  <c r="J7" i="1"/>
  <c r="I7" i="1"/>
  <c r="G7" i="1"/>
  <c r="K6" i="1"/>
  <c r="J6" i="1"/>
  <c r="I6" i="1"/>
  <c r="H6" i="1"/>
  <c r="C17" i="7" l="1"/>
  <c r="C15" i="7" l="1"/>
  <c r="C13" i="7" l="1"/>
  <c r="C11" i="7" l="1"/>
  <c r="C9" i="7" l="1"/>
  <c r="C7" i="7"/>
  <c r="I6" i="4"/>
  <c r="I7" i="4"/>
  <c r="E8" i="4"/>
  <c r="G8" i="4"/>
  <c r="G11" i="4"/>
  <c r="G7" i="4"/>
  <c r="G10" i="4"/>
  <c r="H6" i="4"/>
  <c r="E7" i="4"/>
  <c r="E10" i="4"/>
  <c r="I8" i="4"/>
  <c r="H7" i="4"/>
  <c r="H8" i="4"/>
  <c r="D11" i="4"/>
  <c r="I10" i="4"/>
  <c r="C11" i="4"/>
  <c r="C6" i="4"/>
  <c r="F11" i="4"/>
  <c r="H10" i="4"/>
  <c r="I9" i="4"/>
  <c r="F8" i="4"/>
  <c r="H9" i="4"/>
  <c r="E6" i="4"/>
  <c r="C9" i="4"/>
  <c r="D8" i="4"/>
  <c r="C10" i="4"/>
  <c r="I11" i="4"/>
  <c r="C7" i="4"/>
  <c r="D7" i="4"/>
  <c r="F7" i="4"/>
  <c r="C8" i="4"/>
  <c r="E9" i="4"/>
  <c r="D9" i="4"/>
  <c r="D6" i="4"/>
  <c r="H11" i="4"/>
  <c r="E11" i="4"/>
  <c r="F6" i="4"/>
  <c r="F9" i="4"/>
  <c r="F10" i="4"/>
  <c r="G6" i="4"/>
  <c r="G9" i="4"/>
  <c r="D10" i="4"/>
</calcChain>
</file>

<file path=xl/sharedStrings.xml><?xml version="1.0" encoding="utf-8"?>
<sst xmlns="http://schemas.openxmlformats.org/spreadsheetml/2006/main" count="229" uniqueCount="78">
  <si>
    <t xml:space="preserve">Pricing as at </t>
  </si>
  <si>
    <t>Note: ALL price exclude GST</t>
  </si>
  <si>
    <t>7mm Diamond  Windows</t>
  </si>
  <si>
    <t>7mm Diamond Doors</t>
  </si>
  <si>
    <t>Retail (Supply &amp; Install)</t>
  </si>
  <si>
    <t>Flyscreens - Standard Mesh</t>
  </si>
  <si>
    <t>Flyscreen Sliding Doors - Standard Mesh</t>
  </si>
  <si>
    <t>Flyscreen Hinged Doors - Standard Mesh</t>
  </si>
  <si>
    <t>DOOR EXTRAS - MAX 1200</t>
  </si>
  <si>
    <t>UNDER 2400 HIGH ADD</t>
  </si>
  <si>
    <t>OVER 2400 HIGH ADD</t>
  </si>
  <si>
    <t>PETMESH</t>
  </si>
  <si>
    <t>MIDGEE MESH</t>
  </si>
  <si>
    <t>ALUMINIUM MESH</t>
  </si>
  <si>
    <t>STAINLESS STEEL MESH</t>
  </si>
  <si>
    <t>STANDARD COLOURS</t>
  </si>
  <si>
    <t>CLEAR ANODISED</t>
  </si>
  <si>
    <t>PRIMROSE GLOSS</t>
  </si>
  <si>
    <t>DEEP OCEAN MATT</t>
  </si>
  <si>
    <t>BRONZE ANODISED</t>
  </si>
  <si>
    <t>STONE BEIGE MATT</t>
  </si>
  <si>
    <t>ULTRA SILVER GLOSS</t>
  </si>
  <si>
    <t>PEARL WHITE GLOSS</t>
  </si>
  <si>
    <t>WOODLAND GREY MATT</t>
  </si>
  <si>
    <t>BROWN SATIN</t>
  </si>
  <si>
    <t>BLACK</t>
  </si>
  <si>
    <t>ANODIC MATT NATURAL</t>
  </si>
  <si>
    <t>WINDOWS EXTRAS - MAX 1200</t>
  </si>
  <si>
    <t>UNDER 1500 HIGH ADD</t>
  </si>
  <si>
    <t>OVER 1500 HIGH ADD</t>
  </si>
  <si>
    <t>`</t>
  </si>
  <si>
    <t>N/A</t>
  </si>
  <si>
    <t>GOLDCO SECURITY GROUP PTY LTD 5572-2628</t>
  </si>
  <si>
    <t xml:space="preserve">PRODUCT LIST </t>
  </si>
  <si>
    <t>ALL PRICES ARE EXCULISVE OF GST</t>
  </si>
  <si>
    <t>ADDONS</t>
  </si>
  <si>
    <r>
      <t>PET DOOR - SMALL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(FITTED TO DOOR WHEN MAKE AT SAME TIME)</t>
    </r>
  </si>
  <si>
    <t>Each</t>
  </si>
  <si>
    <r>
      <rPr>
        <sz val="18"/>
        <color theme="1"/>
        <rFont val="Calibri"/>
        <family val="2"/>
        <scheme val="minor"/>
      </rPr>
      <t xml:space="preserve">PET DOOR - MEDIUM </t>
    </r>
    <r>
      <rPr>
        <b/>
        <sz val="16"/>
        <color theme="1"/>
        <rFont val="Calibri"/>
        <family val="2"/>
        <scheme val="minor"/>
      </rPr>
      <t>(FITTED TO DOOR WHEN MAKE AT SAME TIME)</t>
    </r>
  </si>
  <si>
    <r>
      <t xml:space="preserve">PET DOOR - LARGE </t>
    </r>
    <r>
      <rPr>
        <b/>
        <sz val="16"/>
        <color theme="1"/>
        <rFont val="Calibri"/>
        <family val="2"/>
        <scheme val="minor"/>
      </rPr>
      <t>(FITTED TO DOOR WHEN MAKE AT SAME TIME)</t>
    </r>
  </si>
  <si>
    <r>
      <t>HOPPER HATCH</t>
    </r>
    <r>
      <rPr>
        <b/>
        <sz val="16"/>
        <color theme="1"/>
        <rFont val="Calibri"/>
        <family val="2"/>
        <scheme val="minor"/>
      </rPr>
      <t xml:space="preserve"> (FITTED TO SCREEN WHEN MAKE AT SAME TIME)</t>
    </r>
  </si>
  <si>
    <r>
      <rPr>
        <sz val="18"/>
        <color theme="1"/>
        <rFont val="Calibri"/>
        <family val="2"/>
        <scheme val="minor"/>
      </rPr>
      <t>HOPPER HATCH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(PETWAYS FITTED TO SCREEN WHEN MAKE AT SAME TIME)</t>
    </r>
  </si>
  <si>
    <r>
      <t xml:space="preserve">SNIB GUARDS </t>
    </r>
    <r>
      <rPr>
        <b/>
        <sz val="16"/>
        <color theme="1"/>
        <rFont val="Calibri"/>
        <family val="2"/>
        <scheme val="minor"/>
      </rPr>
      <t>(FITTED TO DOOR WHEN MAKE AT SAME TIME)</t>
    </r>
  </si>
  <si>
    <t>WATER CLOSERS</t>
  </si>
  <si>
    <t>EXTRAS</t>
  </si>
  <si>
    <t>REMESH DOORS - STANDARD MESH (UNDER 2400 IN HIGHT)</t>
  </si>
  <si>
    <t>REMESH DOORS - STANDARD MESH (OVER 2400 IN HIGHT)</t>
  </si>
  <si>
    <t>Retail. - SUPPLY &amp; INSTALL</t>
  </si>
  <si>
    <t>REMESH FLYSCREEN WINDOW - STANDARD MESH (UNDER 1500 H)</t>
  </si>
  <si>
    <t>REMESH FLYSCREEN WINDOW - STANDARD MESH (OVER 1500 H)</t>
  </si>
  <si>
    <t>REMESH GRILLE WINDOW - STANDARD MESH (UNDER 1500 H)</t>
  </si>
  <si>
    <t>REMESH GRILLE WINDOW - STANDARD MESH (OVER 1500 H)</t>
  </si>
  <si>
    <t>CALL OUT FEE</t>
  </si>
  <si>
    <t>PET DOOR TO EXISTING DOOR</t>
  </si>
  <si>
    <t>LOCK CHANGE (TRIPLE)</t>
  </si>
  <si>
    <t>ROLERS CHANGE</t>
  </si>
  <si>
    <r>
      <t xml:space="preserve">TRIPLE LOCKS  </t>
    </r>
    <r>
      <rPr>
        <b/>
        <sz val="16"/>
        <color theme="1"/>
        <rFont val="Calibri"/>
        <family val="2"/>
        <scheme val="minor"/>
      </rPr>
      <t>(FITTED TO DOOR WHEN MAKE AT SAME TIME)</t>
    </r>
  </si>
  <si>
    <t>BOX-OUTS</t>
  </si>
  <si>
    <t>PRICE ON REQUEST</t>
  </si>
  <si>
    <r>
      <t xml:space="preserve">BOTTOM TRACK </t>
    </r>
    <r>
      <rPr>
        <b/>
        <sz val="16"/>
        <color theme="1"/>
        <rFont val="Calibri"/>
        <family val="2"/>
        <scheme val="minor"/>
      </rPr>
      <t>(WHEN FITTED TO CURRENT DOOR FRAMES)</t>
    </r>
  </si>
  <si>
    <r>
      <t xml:space="preserve">LOCK POSTS </t>
    </r>
    <r>
      <rPr>
        <b/>
        <sz val="16"/>
        <color theme="1"/>
        <rFont val="Calibri"/>
        <family val="2"/>
        <scheme val="minor"/>
      </rPr>
      <t>(WHEN FITTED TO CURRENT DOOR FRAMES)</t>
    </r>
  </si>
  <si>
    <r>
      <t xml:space="preserve">TOP TRACKS </t>
    </r>
    <r>
      <rPr>
        <b/>
        <sz val="16"/>
        <color theme="1"/>
        <rFont val="Calibri"/>
        <family val="2"/>
        <scheme val="minor"/>
      </rPr>
      <t>(WHEN FITTED TO CURRENT DOOR FRAMES</t>
    </r>
    <r>
      <rPr>
        <sz val="18"/>
        <color theme="1"/>
        <rFont val="Calibri"/>
        <family val="2"/>
        <scheme val="minor"/>
      </rPr>
      <t>)</t>
    </r>
  </si>
  <si>
    <t>LOCK CHANGE (SINGLE)</t>
  </si>
  <si>
    <t>Supascreen  Doors</t>
  </si>
  <si>
    <t xml:space="preserve">Percentage Increase </t>
  </si>
  <si>
    <t>Supascreen  Windows</t>
  </si>
  <si>
    <t>Supply and Install Supascreen</t>
  </si>
  <si>
    <t>IntrudaGuard Doors</t>
  </si>
  <si>
    <t>IntrudaGuard Windows</t>
  </si>
  <si>
    <t>Supply and Install IntrudaGuard</t>
  </si>
  <si>
    <t>DO NOT USE FOR PRICING</t>
  </si>
  <si>
    <t>Supply and Install Data File</t>
  </si>
  <si>
    <t>Superscreen  Doors</t>
  </si>
  <si>
    <t>Superscreen  Windows</t>
  </si>
  <si>
    <t>DOOR EXTRAS</t>
  </si>
  <si>
    <t>WINDOWS EXTRAS</t>
  </si>
  <si>
    <t>Effective Date: 1/2/26</t>
  </si>
  <si>
    <t>Additional charge of $15+gst for double hung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</si>
</sst>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9B8C"/>
        <bgColor indexed="64"/>
      </patternFill>
    </fill>
  </fills>
  <borders count="5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left" vertic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0" borderId="0" xfId="0" applyFont="1"/>
    <xf numFmtId="0" fontId="16" fillId="6" borderId="41" xfId="0" applyFont="1" applyFill="1" applyBorder="1"/>
    <xf numFmtId="0" fontId="16" fillId="6" borderId="42" xfId="0" applyFont="1" applyFill="1" applyBorder="1" applyAlignment="1">
      <alignment horizontal="center"/>
    </xf>
    <xf numFmtId="0" fontId="16" fillId="6" borderId="43" xfId="0" applyFont="1" applyFill="1" applyBorder="1" applyAlignment="1">
      <alignment horizontal="center"/>
    </xf>
    <xf numFmtId="10" fontId="16" fillId="6" borderId="44" xfId="0" applyNumberFormat="1" applyFont="1" applyFill="1" applyBorder="1" applyAlignment="1">
      <alignment horizontal="center"/>
    </xf>
    <xf numFmtId="0" fontId="13" fillId="0" borderId="45" xfId="0" applyFont="1" applyBorder="1"/>
    <xf numFmtId="165" fontId="13" fillId="0" borderId="46" xfId="0" applyNumberFormat="1" applyFont="1" applyBorder="1"/>
    <xf numFmtId="165" fontId="13" fillId="0" borderId="47" xfId="0" applyNumberFormat="1" applyFont="1" applyBorder="1" applyAlignment="1">
      <alignment horizontal="center"/>
    </xf>
    <xf numFmtId="165" fontId="13" fillId="0" borderId="48" xfId="0" applyNumberFormat="1" applyFont="1" applyBorder="1" applyAlignment="1">
      <alignment horizontal="center"/>
    </xf>
    <xf numFmtId="0" fontId="3" fillId="0" borderId="45" xfId="0" applyFont="1" applyBorder="1"/>
    <xf numFmtId="165" fontId="13" fillId="0" borderId="15" xfId="0" applyNumberFormat="1" applyFont="1" applyBorder="1"/>
    <xf numFmtId="0" fontId="13" fillId="0" borderId="32" xfId="0" applyFont="1" applyBorder="1"/>
    <xf numFmtId="0" fontId="19" fillId="0" borderId="32" xfId="0" applyFont="1" applyBorder="1"/>
    <xf numFmtId="0" fontId="13" fillId="0" borderId="49" xfId="0" applyFont="1" applyBorder="1"/>
    <xf numFmtId="165" fontId="13" fillId="0" borderId="50" xfId="0" applyNumberFormat="1" applyFont="1" applyBorder="1"/>
    <xf numFmtId="165" fontId="16" fillId="6" borderId="42" xfId="0" applyNumberFormat="1" applyFont="1" applyFill="1" applyBorder="1" applyAlignment="1">
      <alignment horizontal="center"/>
    </xf>
    <xf numFmtId="0" fontId="16" fillId="6" borderId="44" xfId="0" applyFont="1" applyFill="1" applyBorder="1" applyAlignment="1">
      <alignment horizontal="center"/>
    </xf>
    <xf numFmtId="165" fontId="13" fillId="0" borderId="48" xfId="0" applyNumberFormat="1" applyFont="1" applyBorder="1"/>
    <xf numFmtId="0" fontId="13" fillId="0" borderId="0" xfId="0" applyFont="1" applyAlignment="1">
      <alignment horizontal="center"/>
    </xf>
    <xf numFmtId="164" fontId="0" fillId="0" borderId="24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52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16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1" fillId="10" borderId="1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12" borderId="52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/>
    </xf>
    <xf numFmtId="0" fontId="1" fillId="12" borderId="54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9" fontId="21" fillId="0" borderId="0" xfId="0" applyNumberFormat="1" applyFont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4" fontId="0" fillId="7" borderId="23" xfId="0" applyNumberForma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 vertical="center"/>
    </xf>
    <xf numFmtId="165" fontId="13" fillId="0" borderId="0" xfId="0" applyNumberFormat="1" applyFont="1"/>
    <xf numFmtId="166" fontId="1" fillId="0" borderId="0" xfId="0" applyNumberFormat="1" applyFont="1" applyAlignment="1">
      <alignment horizontal="center"/>
    </xf>
    <xf numFmtId="0" fontId="1" fillId="4" borderId="55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56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8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1" fillId="9" borderId="33" xfId="0" applyFont="1" applyFill="1" applyBorder="1" applyAlignment="1">
      <alignment vertical="center" textRotation="90"/>
    </xf>
    <xf numFmtId="0" fontId="0" fillId="9" borderId="33" xfId="0" applyFill="1" applyBorder="1" applyAlignment="1">
      <alignment vertical="center" textRotation="90"/>
    </xf>
    <xf numFmtId="0" fontId="12" fillId="6" borderId="34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36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3" fillId="0" borderId="39" xfId="0" applyFont="1" applyBorder="1"/>
    <xf numFmtId="0" fontId="13" fillId="0" borderId="40" xfId="0" applyFont="1" applyBorder="1"/>
    <xf numFmtId="165" fontId="13" fillId="0" borderId="29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0" borderId="17" xfId="0" applyFont="1" applyBorder="1"/>
    <xf numFmtId="0" fontId="0" fillId="0" borderId="18" xfId="0" applyBorder="1"/>
    <xf numFmtId="164" fontId="7" fillId="6" borderId="22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8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23" xfId="0" applyFont="1" applyBorder="1"/>
    <xf numFmtId="0" fontId="0" fillId="0" borderId="15" xfId="0" applyBorder="1"/>
    <xf numFmtId="0" fontId="10" fillId="0" borderId="0" xfId="0" applyFont="1" applyAlignment="1">
      <alignment horizontal="center"/>
    </xf>
    <xf numFmtId="165" fontId="8" fillId="0" borderId="29" xfId="0" applyNumberFormat="1" applyFont="1" applyBorder="1" applyAlignment="1">
      <alignment horizontal="center"/>
    </xf>
    <xf numFmtId="165" fontId="8" fillId="0" borderId="30" xfId="0" applyNumberFormat="1" applyFont="1" applyBorder="1" applyAlignment="1">
      <alignment horizontal="center"/>
    </xf>
    <xf numFmtId="165" fontId="8" fillId="0" borderId="32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/>
    </xf>
    <xf numFmtId="165" fontId="8" fillId="0" borderId="25" xfId="0" applyNumberFormat="1" applyFont="1" applyBorder="1" applyAlignment="1">
      <alignment horizontal="center"/>
    </xf>
    <xf numFmtId="165" fontId="8" fillId="0" borderId="26" xfId="0" applyNumberFormat="1" applyFont="1" applyBorder="1" applyAlignment="1">
      <alignment horizontal="center"/>
    </xf>
    <xf numFmtId="165" fontId="8" fillId="0" borderId="28" xfId="0" applyNumberFormat="1" applyFont="1" applyBorder="1" applyAlignment="1">
      <alignment horizontal="center"/>
    </xf>
    <xf numFmtId="165" fontId="8" fillId="0" borderId="27" xfId="0" applyNumberFormat="1" applyFont="1" applyBorder="1" applyAlignment="1">
      <alignment horizontal="center"/>
    </xf>
    <xf numFmtId="0" fontId="0" fillId="0" borderId="22" xfId="0" applyBorder="1"/>
    <xf numFmtId="0" fontId="0" fillId="0" borderId="13" xfId="0" applyBorder="1"/>
    <xf numFmtId="0" fontId="6" fillId="0" borderId="2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D409-F4D1-475D-9E7D-FE3C8777119F}">
  <sheetPr>
    <tabColor rgb="FF92D050"/>
    <pageSetUpPr fitToPage="1"/>
  </sheetPr>
  <dimension ref="A1:R31"/>
  <sheetViews>
    <sheetView tabSelected="1" workbookViewId="0">
      <selection activeCell="M2" sqref="M2"/>
    </sheetView>
  </sheetViews>
  <sheetFormatPr defaultRowHeight="14.5" x14ac:dyDescent="0.35"/>
  <cols>
    <col min="1" max="1" width="2.90625" customWidth="1"/>
    <col min="2" max="2" width="8.1796875" style="1" customWidth="1"/>
    <col min="3" max="12" width="8.1796875" style="2" customWidth="1"/>
    <col min="13" max="13" width="8.81640625" style="2" customWidth="1"/>
    <col min="14" max="18" width="8.1796875" style="2" customWidth="1"/>
    <col min="19" max="19" width="8.1796875" customWidth="1"/>
  </cols>
  <sheetData>
    <row r="1" spans="1:18" ht="33.5" x14ac:dyDescent="0.75">
      <c r="A1" s="105" t="s">
        <v>66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x14ac:dyDescent="0.35">
      <c r="G2" s="3" t="s">
        <v>0</v>
      </c>
      <c r="H2" s="106">
        <v>46054</v>
      </c>
      <c r="I2" s="107"/>
      <c r="K2" s="66"/>
      <c r="L2" s="65" t="s">
        <v>64</v>
      </c>
      <c r="M2" s="64">
        <v>5.5E-2</v>
      </c>
    </row>
    <row r="3" spans="1:18" ht="9" customHeight="1" thickBot="1" x14ac:dyDescent="0.4"/>
    <row r="4" spans="1:18" ht="24" thickTop="1" x14ac:dyDescent="0.55000000000000004">
      <c r="C4" s="114" t="s">
        <v>65</v>
      </c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6"/>
    </row>
    <row r="5" spans="1:18" ht="15" thickBot="1" x14ac:dyDescent="0.4">
      <c r="B5" s="4"/>
      <c r="C5" s="72">
        <v>300</v>
      </c>
      <c r="D5" s="71">
        <v>450</v>
      </c>
      <c r="E5" s="71">
        <v>600</v>
      </c>
      <c r="F5" s="71">
        <v>750</v>
      </c>
      <c r="G5" s="71">
        <v>900</v>
      </c>
      <c r="H5" s="71">
        <v>1050</v>
      </c>
      <c r="I5" s="71">
        <v>1200</v>
      </c>
      <c r="J5" s="71">
        <v>1350</v>
      </c>
      <c r="K5" s="71">
        <v>1500</v>
      </c>
      <c r="L5" s="71">
        <v>1650</v>
      </c>
      <c r="M5" s="71">
        <v>1800</v>
      </c>
      <c r="N5" s="71">
        <v>1950</v>
      </c>
      <c r="O5" s="71">
        <v>2100</v>
      </c>
      <c r="P5" s="71">
        <v>2250</v>
      </c>
      <c r="Q5" s="71">
        <v>2400</v>
      </c>
      <c r="R5" s="70">
        <v>2550</v>
      </c>
    </row>
    <row r="6" spans="1:18" ht="15" thickTop="1" x14ac:dyDescent="0.35">
      <c r="B6" s="69">
        <v>600</v>
      </c>
      <c r="C6" s="5">
        <f>'Data Sheet SS'!C7*(1+Supascreen!$M$2)</f>
        <v>154.40724101339305</v>
      </c>
      <c r="D6" s="6">
        <f>'Data Sheet SS'!D7*(1+Supascreen!$M$2)</f>
        <v>188.71996123859148</v>
      </c>
      <c r="E6" s="6">
        <f>'Data Sheet SS'!E7*(1+Supascreen!$M$2)</f>
        <v>223.03268146378994</v>
      </c>
      <c r="F6" s="6">
        <f>'Data Sheet SS'!F7*(1+Supascreen!$M$2)</f>
        <v>257.34540168898837</v>
      </c>
      <c r="G6" s="6">
        <f>'Data Sheet SS'!G7*(1+Supascreen!$M$2)</f>
        <v>291.65812191418684</v>
      </c>
      <c r="H6" s="6">
        <f>'Data Sheet SS'!H7*(1+Supascreen!$M$2)</f>
        <v>325.9708421393853</v>
      </c>
      <c r="I6" s="6">
        <f>'Data Sheet SS'!I7*(1+Supascreen!$M$2)</f>
        <v>360.28356236458382</v>
      </c>
      <c r="J6" s="6">
        <f>'Data Sheet SS'!J7*(1+Supascreen!$M$2)</f>
        <v>411.75264270238148</v>
      </c>
      <c r="K6" s="6">
        <f>'Data Sheet SS'!K7*(1+Supascreen!$M$2)</f>
        <v>497.5344432653776</v>
      </c>
      <c r="L6" s="6">
        <f>'Data Sheet SS'!L7*(1+Supascreen!$M$2)</f>
        <v>480.37808315277829</v>
      </c>
      <c r="M6" s="6">
        <f>'Data Sheet SS'!M7*(1+Supascreen!$M$2)</f>
        <v>514.69080337797675</v>
      </c>
      <c r="N6" s="6">
        <f>'Data Sheet SS'!N7*(1+Supascreen!$M$2)</f>
        <v>549.00352360317527</v>
      </c>
      <c r="O6" s="6">
        <f>'Data Sheet SS'!O7*(1+Supascreen!$M$2)</f>
        <v>583.31624382837367</v>
      </c>
      <c r="P6" s="6">
        <f>'Data Sheet SS'!P7*(1+Supascreen!$M$2)</f>
        <v>617.62896405357219</v>
      </c>
      <c r="Q6" s="6">
        <f>'Data Sheet SS'!Q7*(1+Supascreen!$M$2)</f>
        <v>651.94168427877059</v>
      </c>
      <c r="R6" s="7">
        <f>'Data Sheet SS'!R7*(1+Supascreen!$M$2)</f>
        <v>686.25440450396911</v>
      </c>
    </row>
    <row r="7" spans="1:18" x14ac:dyDescent="0.35">
      <c r="B7" s="68">
        <v>750</v>
      </c>
      <c r="C7" s="8">
        <f>'Data Sheet SS'!C8*(1+Supascreen!$M$2)</f>
        <v>171.56360112599228</v>
      </c>
      <c r="D7" s="9">
        <f>'Data Sheet SS'!D8*(1+Supascreen!$M$2)</f>
        <v>223.03268146378994</v>
      </c>
      <c r="E7" s="9">
        <f>'Data Sheet SS'!E8*(1+Supascreen!$M$2)</f>
        <v>257.34540168898837</v>
      </c>
      <c r="F7" s="9">
        <f>'Data Sheet SS'!F8*(1+Supascreen!$M$2)</f>
        <v>308.8144820267861</v>
      </c>
      <c r="G7" s="9">
        <f>'Data Sheet SS'!G8*(1+Supascreen!$M$2)</f>
        <v>343.12720225198456</v>
      </c>
      <c r="H7" s="9">
        <f>'Data Sheet SS'!H8*(1+Supascreen!$M$2)</f>
        <v>377.43992247718296</v>
      </c>
      <c r="I7" s="9">
        <f>'Data Sheet SS'!I8*(1+Supascreen!$M$2)</f>
        <v>428.90900281498074</v>
      </c>
      <c r="J7" s="9">
        <f>'Data Sheet SS'!J8*(1+Supascreen!$M$2)</f>
        <v>497.5344432653776</v>
      </c>
      <c r="K7" s="9">
        <f>'Data Sheet SS'!K8*(1+Supascreen!$M$2)</f>
        <v>531.84716349057601</v>
      </c>
      <c r="L7" s="9">
        <f>'Data Sheet SS'!L8*(1+Supascreen!$M$2)</f>
        <v>566.15988371577441</v>
      </c>
      <c r="M7" s="9">
        <f>'Data Sheet SS'!M8*(1+Supascreen!$M$2)</f>
        <v>617.62896405357219</v>
      </c>
      <c r="N7" s="9">
        <f>'Data Sheet SS'!N8*(1+Supascreen!$M$2)</f>
        <v>651.94168427877059</v>
      </c>
      <c r="O7" s="9">
        <f>'Data Sheet SS'!O8*(1+Supascreen!$M$2)</f>
        <v>703.41076461656826</v>
      </c>
      <c r="P7" s="9">
        <f>'Data Sheet SS'!P8*(1+Supascreen!$M$2)</f>
        <v>737.72348484176678</v>
      </c>
      <c r="Q7" s="9">
        <f>'Data Sheet SS'!Q8*(1+Supascreen!$M$2)</f>
        <v>789.19256517956444</v>
      </c>
      <c r="R7" s="10">
        <f>'Data Sheet SS'!R8*(1+Supascreen!$M$2)</f>
        <v>823.50528540476296</v>
      </c>
    </row>
    <row r="8" spans="1:18" x14ac:dyDescent="0.35">
      <c r="B8" s="68">
        <v>900</v>
      </c>
      <c r="C8" s="8">
        <f>'Data Sheet SS'!C9*(1+Supascreen!$M$2)</f>
        <v>188.71996123859148</v>
      </c>
      <c r="D8" s="9">
        <f>'Data Sheet SS'!D9*(1+Supascreen!$M$2)</f>
        <v>257.34540168898837</v>
      </c>
      <c r="E8" s="9">
        <f>'Data Sheet SS'!E9*(1+Supascreen!$M$2)</f>
        <v>291.65812191418684</v>
      </c>
      <c r="F8" s="9">
        <f>'Data Sheet SS'!F9*(1+Supascreen!$M$2)</f>
        <v>343.12720225198456</v>
      </c>
      <c r="G8" s="9">
        <f>'Data Sheet SS'!G9*(1+Supascreen!$M$2)</f>
        <v>394.59628258978222</v>
      </c>
      <c r="H8" s="9">
        <f>'Data Sheet SS'!H9*(1+Supascreen!$M$2)</f>
        <v>446.06536292757988</v>
      </c>
      <c r="I8" s="9">
        <f>'Data Sheet SS'!I9*(1+Supascreen!$M$2)</f>
        <v>497.5344432653776</v>
      </c>
      <c r="J8" s="9">
        <f>'Data Sheet SS'!J9*(1+Supascreen!$M$2)</f>
        <v>566.15988371577441</v>
      </c>
      <c r="K8" s="9">
        <f>'Data Sheet SS'!K9*(1+Supascreen!$M$2)</f>
        <v>617.62896405357219</v>
      </c>
      <c r="L8" s="9">
        <f>'Data Sheet SS'!L9*(1+Supascreen!$M$2)</f>
        <v>669.09804439136985</v>
      </c>
      <c r="M8" s="9">
        <f>'Data Sheet SS'!M9*(1+Supascreen!$M$2)</f>
        <v>720.56712472916763</v>
      </c>
      <c r="N8" s="9">
        <f>'Data Sheet SS'!N9*(1+Supascreen!$M$2)</f>
        <v>772.03620506696529</v>
      </c>
      <c r="O8" s="9">
        <f>'Data Sheet SS'!O9*(1+Supascreen!$M$2)</f>
        <v>789.19256517956444</v>
      </c>
      <c r="P8" s="9">
        <f>'Data Sheet SS'!P9*(1+Supascreen!$M$2)</f>
        <v>857.81800562996148</v>
      </c>
      <c r="Q8" s="9">
        <f>'Data Sheet SS'!Q9*(1+Supascreen!$M$2)</f>
        <v>926.44344608035817</v>
      </c>
      <c r="R8" s="10">
        <f>'Data Sheet SS'!R9*(1+Supascreen!$M$2)</f>
        <v>960.75616630555658</v>
      </c>
    </row>
    <row r="9" spans="1:18" x14ac:dyDescent="0.35">
      <c r="B9" s="68">
        <v>1050</v>
      </c>
      <c r="C9" s="8">
        <f>'Data Sheet SS'!C10*(1+Supascreen!$M$2)</f>
        <v>205.87632135119074</v>
      </c>
      <c r="D9" s="9">
        <f>'Data Sheet SS'!D10*(1+Supascreen!$M$2)</f>
        <v>274.50176180158763</v>
      </c>
      <c r="E9" s="9">
        <f>'Data Sheet SS'!E10*(1+Supascreen!$M$2)</f>
        <v>325.9708421393853</v>
      </c>
      <c r="F9" s="9">
        <f>'Data Sheet SS'!F10*(1+Supascreen!$M$2)</f>
        <v>377.43992247718296</v>
      </c>
      <c r="G9" s="9">
        <f>'Data Sheet SS'!G10*(1+Supascreen!$M$2)</f>
        <v>446.06536292757988</v>
      </c>
      <c r="H9" s="9">
        <f>'Data Sheet SS'!H10*(1+Supascreen!$M$2)</f>
        <v>497.5344432653776</v>
      </c>
      <c r="I9" s="9">
        <f>'Data Sheet SS'!I10*(1+Supascreen!$M$2)</f>
        <v>566.15988371577441</v>
      </c>
      <c r="J9" s="9">
        <f>'Data Sheet SS'!J10*(1+Supascreen!$M$2)</f>
        <v>634.78532416617134</v>
      </c>
      <c r="K9" s="9">
        <f>'Data Sheet SS'!K10*(1+Supascreen!$M$2)</f>
        <v>703.41076461656826</v>
      </c>
      <c r="L9" s="9">
        <f>'Data Sheet SS'!L10*(1+Supascreen!$M$2)</f>
        <v>754.87984495436592</v>
      </c>
      <c r="M9" s="9">
        <f>'Data Sheet SS'!M10*(1+Supascreen!$M$2)</f>
        <v>823.50528540476296</v>
      </c>
      <c r="N9" s="9">
        <f>'Data Sheet SS'!N10*(1+Supascreen!$M$2)</f>
        <v>874.97436574256051</v>
      </c>
      <c r="O9" s="9">
        <f>'Data Sheet SS'!O10*(1+Supascreen!$M$2)</f>
        <v>926.44344608035817</v>
      </c>
      <c r="P9" s="9">
        <f>'Data Sheet SS'!P10*(1+Supascreen!$M$2)</f>
        <v>995.06888653075521</v>
      </c>
      <c r="Q9" s="9">
        <f>'Data Sheet SS'!Q10*(1+Supascreen!$M$2)</f>
        <v>1046.537966868553</v>
      </c>
      <c r="R9" s="10">
        <f>'Data Sheet SS'!R10*(1+Supascreen!$M$2)</f>
        <v>1115.1634073189498</v>
      </c>
    </row>
    <row r="10" spans="1:18" x14ac:dyDescent="0.35">
      <c r="B10" s="68">
        <v>1200</v>
      </c>
      <c r="C10" s="8">
        <f>'Data Sheet SS'!C11*(1+Supascreen!$M$2)</f>
        <v>223.03268146378994</v>
      </c>
      <c r="D10" s="9">
        <f>'Data Sheet SS'!D11*(1+Supascreen!$M$2)</f>
        <v>291.65812191418684</v>
      </c>
      <c r="E10" s="9">
        <f>'Data Sheet SS'!E11*(1+Supascreen!$M$2)</f>
        <v>360.28356236458382</v>
      </c>
      <c r="F10" s="9">
        <f>'Data Sheet SS'!F11*(1+Supascreen!$M$2)</f>
        <v>428.90900281498074</v>
      </c>
      <c r="G10" s="9">
        <f>'Data Sheet SS'!G11*(1+Supascreen!$M$2)</f>
        <v>497.5344432653776</v>
      </c>
      <c r="H10" s="9">
        <f>'Data Sheet SS'!H11*(1+Supascreen!$M$2)</f>
        <v>566.15988371577441</v>
      </c>
      <c r="I10" s="9">
        <f>'Data Sheet SS'!I11*(1+Supascreen!$M$2)</f>
        <v>634.78532416617134</v>
      </c>
      <c r="J10" s="9">
        <f>'Data Sheet SS'!J11*(1+Supascreen!$M$2)</f>
        <v>703.41076461656826</v>
      </c>
      <c r="K10" s="9">
        <f>'Data Sheet SS'!K11*(1+Supascreen!$M$2)</f>
        <v>789.19256517956444</v>
      </c>
      <c r="L10" s="9">
        <f>'Data Sheet SS'!L11*(1+Supascreen!$M$2)</f>
        <v>840.66164551736188</v>
      </c>
      <c r="M10" s="9">
        <f>'Data Sheet SS'!M11*(1+Supascreen!$M$2)</f>
        <v>926.44344608035817</v>
      </c>
      <c r="N10" s="9">
        <f>'Data Sheet SS'!N11*(1+Supascreen!$M$2)</f>
        <v>977.91252641815595</v>
      </c>
      <c r="O10" s="9">
        <f>'Data Sheet SS'!O11*(1+Supascreen!$M$2)</f>
        <v>1046.537966868553</v>
      </c>
      <c r="P10" s="9">
        <f>'Data Sheet SS'!P11*(1+Supascreen!$M$2)</f>
        <v>1115.1634073189498</v>
      </c>
      <c r="Q10" s="9">
        <f>'Data Sheet SS'!Q11*(1+Supascreen!$M$2)</f>
        <v>1183.7888477693466</v>
      </c>
      <c r="R10" s="10">
        <f>'Data Sheet SS'!R11*(1+Supascreen!$M$2)</f>
        <v>1252.4142882197432</v>
      </c>
    </row>
    <row r="11" spans="1:18" x14ac:dyDescent="0.35">
      <c r="B11" s="68">
        <v>1350</v>
      </c>
      <c r="C11" s="8">
        <f>'Data Sheet SS'!C12*(1+Supascreen!$M$2)</f>
        <v>240.18904157638914</v>
      </c>
      <c r="D11" s="9">
        <f>'Data Sheet SS'!D12*(1+Supascreen!$M$2)</f>
        <v>325.9708421393853</v>
      </c>
      <c r="E11" s="9">
        <f>'Data Sheet SS'!E12*(1+Supascreen!$M$2)</f>
        <v>394.59628258978222</v>
      </c>
      <c r="F11" s="9">
        <f>'Data Sheet SS'!F12*(1+Supascreen!$M$2)</f>
        <v>463.22172304017909</v>
      </c>
      <c r="G11" s="9">
        <f>'Data Sheet SS'!G12*(1+Supascreen!$M$2)</f>
        <v>549.00352360317527</v>
      </c>
      <c r="H11" s="9">
        <f>'Data Sheet SS'!H12*(1+Supascreen!$M$2)</f>
        <v>617.62896405357219</v>
      </c>
      <c r="I11" s="9">
        <f>'Data Sheet SS'!I12*(1+Supascreen!$M$2)</f>
        <v>703.41076461656826</v>
      </c>
      <c r="J11" s="9">
        <f>'Data Sheet SS'!J12*(1+Supascreen!$M$2)</f>
        <v>789.19256517956444</v>
      </c>
      <c r="K11" s="9">
        <f>'Data Sheet SS'!K12*(1+Supascreen!$M$2)</f>
        <v>857.81800562996148</v>
      </c>
      <c r="L11" s="9">
        <f>'Data Sheet SS'!L12*(1+Supascreen!$M$2)</f>
        <v>943.59980619295766</v>
      </c>
      <c r="M11" s="9">
        <f>'Data Sheet SS'!M12*(1+Supascreen!$M$2)</f>
        <v>1012.2252466433545</v>
      </c>
      <c r="N11" s="9">
        <f>'Data Sheet SS'!N12*(1+Supascreen!$M$2)</f>
        <v>1098.0070472063505</v>
      </c>
      <c r="O11" s="9">
        <f>'Data Sheet SS'!O12*(1+Supascreen!$M$2)</f>
        <v>1166.6324876567473</v>
      </c>
      <c r="P11" s="9">
        <f>'Data Sheet SS'!P12*(1+Supascreen!$M$2)</f>
        <v>1252.4142882197432</v>
      </c>
      <c r="Q11" s="9">
        <f>'Data Sheet SS'!Q12*(1+Supascreen!$M$2)</f>
        <v>1321.03972867014</v>
      </c>
      <c r="R11" s="10">
        <f>'Data Sheet SS'!R12*(1+Supascreen!$M$2)</f>
        <v>1389.6651691205375</v>
      </c>
    </row>
    <row r="12" spans="1:18" x14ac:dyDescent="0.35">
      <c r="B12" s="68">
        <v>1500</v>
      </c>
      <c r="C12" s="8">
        <f>'Data Sheet SS'!C13*(1+Supascreen!$M$2)</f>
        <v>257.34540168898837</v>
      </c>
      <c r="D12" s="9">
        <f>'Data Sheet SS'!D13*(1+Supascreen!$M$2)</f>
        <v>343.12720225198456</v>
      </c>
      <c r="E12" s="9">
        <f>'Data Sheet SS'!E13*(1+Supascreen!$M$2)</f>
        <v>428.90900281498074</v>
      </c>
      <c r="F12" s="9">
        <f>'Data Sheet SS'!F13*(1+Supascreen!$M$2)</f>
        <v>480.37808315277829</v>
      </c>
      <c r="G12" s="9">
        <f>'Data Sheet SS'!G13*(1+Supascreen!$M$2)</f>
        <v>600.47260394097304</v>
      </c>
      <c r="H12" s="9">
        <f>'Data Sheet SS'!H13*(1+Supascreen!$M$2)</f>
        <v>686.25440450396911</v>
      </c>
      <c r="I12" s="9">
        <f>'Data Sheet SS'!I13*(1+Supascreen!$M$2)</f>
        <v>772.03620506696529</v>
      </c>
      <c r="J12" s="9">
        <f>'Data Sheet SS'!J13*(1+Supascreen!$M$2)</f>
        <v>857.81800562996148</v>
      </c>
      <c r="K12" s="9">
        <f>'Data Sheet SS'!K13*(1+Supascreen!$M$2)</f>
        <v>943.59980619295766</v>
      </c>
      <c r="L12" s="9">
        <f>'Data Sheet SS'!L13*(1+Supascreen!$M$2)</f>
        <v>1029.3816067559535</v>
      </c>
      <c r="M12" s="9">
        <f>'Data Sheet SS'!M13*(1+Supascreen!$M$2)</f>
        <v>1115.1634073189498</v>
      </c>
      <c r="N12" s="9">
        <f>'Data Sheet SS'!N13*(1+Supascreen!$M$2)</f>
        <v>1200.9452078819461</v>
      </c>
      <c r="O12" s="9">
        <f>'Data Sheet SS'!O13*(1+Supascreen!$M$2)</f>
        <v>1286.7270084449422</v>
      </c>
      <c r="P12" s="9">
        <f>'Data Sheet SS'!P13*(1+Supascreen!$M$2)</f>
        <v>1372.5088090079382</v>
      </c>
      <c r="Q12" s="9">
        <f>'Data Sheet SS'!Q13*(1+Supascreen!$M$2)</f>
        <v>1458.2906095709343</v>
      </c>
      <c r="R12" s="10">
        <f>'Data Sheet SS'!R13*(1+Supascreen!$M$2)</f>
        <v>1544.0724101339306</v>
      </c>
    </row>
    <row r="13" spans="1:18" x14ac:dyDescent="0.35">
      <c r="B13" s="68">
        <v>1650</v>
      </c>
      <c r="C13" s="8">
        <f>'Data Sheet SS'!C14*(1+Supascreen!$M$2)</f>
        <v>274.50176180158763</v>
      </c>
      <c r="D13" s="9">
        <f>'Data Sheet SS'!D14*(1+Supascreen!$M$2)</f>
        <v>360.28356236458382</v>
      </c>
      <c r="E13" s="9">
        <f>'Data Sheet SS'!E14*(1+Supascreen!$M$2)</f>
        <v>463.22172304017909</v>
      </c>
      <c r="F13" s="9">
        <f>'Data Sheet SS'!F14*(1+Supascreen!$M$2)</f>
        <v>549.00352360317527</v>
      </c>
      <c r="G13" s="9">
        <f>'Data Sheet SS'!G14*(1+Supascreen!$M$2)</f>
        <v>651.94168427877059</v>
      </c>
      <c r="H13" s="9">
        <f>'Data Sheet SS'!H14*(1+Supascreen!$M$2)</f>
        <v>737.72348484176678</v>
      </c>
      <c r="I13" s="9">
        <f>'Data Sheet SS'!I14*(1+Supascreen!$M$2)</f>
        <v>840.66164551736188</v>
      </c>
      <c r="J13" s="9">
        <f>'Data Sheet SS'!J14*(1+Supascreen!$M$2)</f>
        <v>943.59980619295766</v>
      </c>
      <c r="K13" s="9">
        <f>'Data Sheet SS'!K14*(1+Supascreen!$M$2)</f>
        <v>1029.3816067559535</v>
      </c>
      <c r="L13" s="9">
        <f>'Data Sheet SS'!L14*(1+Supascreen!$M$2)</f>
        <v>1132.3197674315488</v>
      </c>
      <c r="M13" s="9">
        <f>'Data Sheet SS'!M14*(1+Supascreen!$M$2)</f>
        <v>1218.1015679945449</v>
      </c>
      <c r="N13" s="9">
        <f>'Data Sheet SS'!N14*(1+Supascreen!$M$2)</f>
        <v>1303.8833685575412</v>
      </c>
      <c r="O13" s="9">
        <f>'Data Sheet SS'!O14*(1+Supascreen!$M$2)</f>
        <v>1406.8215292331365</v>
      </c>
      <c r="P13" s="9">
        <f>'Data Sheet SS'!P14*(1+Supascreen!$M$2)</f>
        <v>1492.603329796133</v>
      </c>
      <c r="Q13" s="9">
        <f>'Data Sheet SS'!Q14*(1+Supascreen!$M$2)</f>
        <v>1595.5414904717277</v>
      </c>
      <c r="R13" s="10">
        <f>'Data Sheet SS'!R14*(1+Supascreen!$M$2)</f>
        <v>1681.3232910347238</v>
      </c>
    </row>
    <row r="14" spans="1:18" x14ac:dyDescent="0.35">
      <c r="B14" s="68">
        <v>1800</v>
      </c>
      <c r="C14" s="8">
        <f>'Data Sheet SS'!C15*(1+Supascreen!$M$2)</f>
        <v>291.65812191418684</v>
      </c>
      <c r="D14" s="9">
        <f>'Data Sheet SS'!D15*(1+Supascreen!$M$2)</f>
        <v>394.59628258978222</v>
      </c>
      <c r="E14" s="9">
        <f>'Data Sheet SS'!E15*(1+Supascreen!$M$2)</f>
        <v>497.5344432653776</v>
      </c>
      <c r="F14" s="9">
        <f>'Data Sheet SS'!F15*(1+Supascreen!$M$2)</f>
        <v>600.47260394097304</v>
      </c>
      <c r="G14" s="9">
        <f>'Data Sheet SS'!G15*(1+Supascreen!$M$2)</f>
        <v>703.41076461656826</v>
      </c>
      <c r="H14" s="9">
        <f>'Data Sheet SS'!H15*(1+Supascreen!$M$2)</f>
        <v>806.34892529216381</v>
      </c>
      <c r="I14" s="9">
        <f>'Data Sheet SS'!I15*(1+Supascreen!$M$2)</f>
        <v>909.28708596775903</v>
      </c>
      <c r="J14" s="9">
        <f>'Data Sheet SS'!J15*(1+Supascreen!$M$2)</f>
        <v>1012.2252466433545</v>
      </c>
      <c r="K14" s="9">
        <f>'Data Sheet SS'!K15*(1+Supascreen!$M$2)</f>
        <v>1115.1634073189498</v>
      </c>
      <c r="L14" s="9">
        <f>'Data Sheet SS'!L15*(1+Supascreen!$M$2)</f>
        <v>1218.1015679945449</v>
      </c>
      <c r="M14" s="9">
        <f>'Data Sheet SS'!M15*(1+Supascreen!$M$2)</f>
        <v>1321.03972867014</v>
      </c>
      <c r="N14" s="9">
        <f>'Data Sheet SS'!N15*(1+Supascreen!$M$2)</f>
        <v>1423.9778893457355</v>
      </c>
      <c r="O14" s="9">
        <f>'Data Sheet SS'!O15*(1+Supascreen!$M$2)</f>
        <v>1526.9160500213311</v>
      </c>
      <c r="P14" s="9">
        <f>'Data Sheet SS'!P15*(1+Supascreen!$M$2)</f>
        <v>1629.8542106969264</v>
      </c>
      <c r="Q14" s="9">
        <f>'Data Sheet SS'!Q15*(1+Supascreen!$M$2)</f>
        <v>1715.636011259923</v>
      </c>
      <c r="R14" s="10">
        <f>'Data Sheet SS'!R15*(1+Supascreen!$M$2)</f>
        <v>1818.5741719355181</v>
      </c>
    </row>
    <row r="15" spans="1:18" x14ac:dyDescent="0.35">
      <c r="B15" s="68">
        <v>1950</v>
      </c>
      <c r="C15" s="8">
        <f>'Data Sheet SS'!C16*(1+Supascreen!$M$2)</f>
        <v>308.8144820267861</v>
      </c>
      <c r="D15" s="9">
        <f>'Data Sheet SS'!D16*(1+Supascreen!$M$2)</f>
        <v>411.75264270238148</v>
      </c>
      <c r="E15" s="9">
        <f>'Data Sheet SS'!E16*(1+Supascreen!$M$2)</f>
        <v>531.84716349057601</v>
      </c>
      <c r="F15" s="9">
        <f>'Data Sheet SS'!F16*(1+Supascreen!$M$2)</f>
        <v>634.78532416617134</v>
      </c>
      <c r="G15" s="9">
        <f>'Data Sheet SS'!G16*(1+Supascreen!$M$2)</f>
        <v>772.03620506696529</v>
      </c>
      <c r="H15" s="9">
        <f>'Data Sheet SS'!H16*(1+Supascreen!$M$2)</f>
        <v>857.81800562996148</v>
      </c>
      <c r="I15" s="9">
        <f>'Data Sheet SS'!I16*(1+Supascreen!$M$2)</f>
        <v>960.75616630555658</v>
      </c>
      <c r="J15" s="9">
        <f>'Data Sheet SS'!J16*(1+Supascreen!$M$2)</f>
        <v>1098.0070472063505</v>
      </c>
      <c r="K15" s="9">
        <f>'Data Sheet SS'!K16*(1+Supascreen!$M$2)</f>
        <v>1200.9452078819461</v>
      </c>
      <c r="L15" s="9">
        <f>'Data Sheet SS'!L16*(1+Supascreen!$M$2)</f>
        <v>1303.8833685575412</v>
      </c>
      <c r="M15" s="9">
        <f>'Data Sheet SS'!M16*(1+Supascreen!$M$2)</f>
        <v>1423.9778893457355</v>
      </c>
      <c r="N15" s="9">
        <f>'Data Sheet SS'!N16*(1+Supascreen!$M$2)</f>
        <v>1526.9160500213311</v>
      </c>
      <c r="O15" s="9">
        <f>'Data Sheet SS'!O16*(1+Supascreen!$M$2)</f>
        <v>1647.0105708095259</v>
      </c>
      <c r="P15" s="9">
        <f>'Data Sheet SS'!P16*(1+Supascreen!$M$2)</f>
        <v>1749.948731485121</v>
      </c>
      <c r="Q15" s="9">
        <f>'Data Sheet SS'!Q16*(1+Supascreen!$M$2)</f>
        <v>1852.8868921607163</v>
      </c>
      <c r="R15" s="10">
        <f>'Data Sheet SS'!R16*(1+Supascreen!$M$2)</f>
        <v>1972.9814129489109</v>
      </c>
    </row>
    <row r="16" spans="1:18" x14ac:dyDescent="0.35">
      <c r="B16" s="68">
        <v>2100</v>
      </c>
      <c r="C16" s="8">
        <f>'Data Sheet SS'!C17*(1+Supascreen!$M$2)</f>
        <v>325.9708421393853</v>
      </c>
      <c r="D16" s="9">
        <f>'Data Sheet SS'!D17*(1+Supascreen!$M$2)</f>
        <v>446.06536292757988</v>
      </c>
      <c r="E16" s="9">
        <f>'Data Sheet SS'!E17*(1+Supascreen!$M$2)</f>
        <v>566.15988371577441</v>
      </c>
      <c r="F16" s="9">
        <f>'Data Sheet SS'!F17*(1+Supascreen!$M$2)</f>
        <v>686.25440450396911</v>
      </c>
      <c r="G16" s="9">
        <f>'Data Sheet SS'!G17*(1+Supascreen!$M$2)</f>
        <v>806.34892529216381</v>
      </c>
      <c r="H16" s="9">
        <f>'Data Sheet SS'!H17*(1+Supascreen!$M$2)</f>
        <v>909.28708596775903</v>
      </c>
      <c r="I16" s="9">
        <f>'Data Sheet SS'!I17*(1+Supascreen!$M$2)</f>
        <v>1029.3816067559535</v>
      </c>
      <c r="J16" s="9">
        <f>'Data Sheet SS'!J17*(1+Supascreen!$M$2)</f>
        <v>1183.7888477693466</v>
      </c>
      <c r="K16" s="9">
        <f>'Data Sheet SS'!K17*(1+Supascreen!$M$2)</f>
        <v>1286.7270084449422</v>
      </c>
      <c r="L16" s="9">
        <f>'Data Sheet SS'!L17*(1+Supascreen!$M$2)</f>
        <v>1406.8215292331365</v>
      </c>
      <c r="M16" s="9">
        <f>'Data Sheet SS'!M17*(1+Supascreen!$M$2)</f>
        <v>1526.9160500213311</v>
      </c>
      <c r="N16" s="9">
        <f>'Data Sheet SS'!N17*(1+Supascreen!$M$2)</f>
        <v>1647.0105708095259</v>
      </c>
      <c r="O16" s="9">
        <f>'Data Sheet SS'!O17*(1+Supascreen!$M$2)</f>
        <v>1749.948731485121</v>
      </c>
      <c r="P16" s="9">
        <f>'Data Sheet SS'!P17*(1+Supascreen!$M$2)</f>
        <v>1870.0432522733158</v>
      </c>
      <c r="Q16" s="9">
        <f>'Data Sheet SS'!Q17*(1+Supascreen!$M$2)</f>
        <v>1990.1377730615104</v>
      </c>
      <c r="R16" s="10">
        <f>'Data Sheet SS'!R17*(1+Supascreen!$M$2)</f>
        <v>2110.232293849705</v>
      </c>
    </row>
    <row r="17" spans="1:18" x14ac:dyDescent="0.35">
      <c r="B17" s="68">
        <v>2250</v>
      </c>
      <c r="C17" s="8">
        <f>'Data Sheet SS'!C18*(1+Supascreen!$M$2)</f>
        <v>343.12720225198456</v>
      </c>
      <c r="D17" s="9">
        <f>'Data Sheet SS'!D18*(1+Supascreen!$M$2)</f>
        <v>480.37808315277829</v>
      </c>
      <c r="E17" s="9">
        <f>'Data Sheet SS'!E18*(1+Supascreen!$M$2)</f>
        <v>600.47260394097304</v>
      </c>
      <c r="F17" s="9">
        <f>'Data Sheet SS'!F18*(1+Supascreen!$M$2)</f>
        <v>720.56712472916763</v>
      </c>
      <c r="G17" s="9">
        <f>'Data Sheet SS'!G18*(1+Supascreen!$M$2)</f>
        <v>840.66164551736188</v>
      </c>
      <c r="H17" s="9">
        <f>'Data Sheet SS'!H18*(1+Supascreen!$M$2)</f>
        <v>977.91252641815595</v>
      </c>
      <c r="I17" s="9">
        <f>'Data Sheet SS'!I18*(1+Supascreen!$M$2)</f>
        <v>1098.0070472063505</v>
      </c>
      <c r="J17" s="9">
        <f>'Data Sheet SS'!J18*(1+Supascreen!$M$2)</f>
        <v>1252.4142882197432</v>
      </c>
      <c r="K17" s="9">
        <f>'Data Sheet SS'!K18*(1+Supascreen!$M$2)</f>
        <v>1372.5088090079382</v>
      </c>
      <c r="L17" s="9">
        <f>'Data Sheet SS'!L18*(1+Supascreen!$M$2)</f>
        <v>1492.603329796133</v>
      </c>
      <c r="M17" s="9">
        <f>'Data Sheet SS'!M18*(1+Supascreen!$M$2)</f>
        <v>1629.8542106969264</v>
      </c>
      <c r="N17" s="9">
        <f>'Data Sheet SS'!N18*(1+Supascreen!$M$2)</f>
        <v>1749.948731485121</v>
      </c>
      <c r="O17" s="9">
        <f>'Data Sheet SS'!O18*(1+Supascreen!$M$2)</f>
        <v>1870.0432522733158</v>
      </c>
      <c r="P17" s="9">
        <f>'Data Sheet SS'!P18*(1+Supascreen!$M$2)</f>
        <v>2007.294133174109</v>
      </c>
      <c r="Q17" s="9">
        <f>'Data Sheet SS'!Q18*(1+Supascreen!$M$2)</f>
        <v>2127.388653962304</v>
      </c>
      <c r="R17" s="10">
        <f>'Data Sheet SS'!R18*(1+Supascreen!$M$2)</f>
        <v>2264.6395348630977</v>
      </c>
    </row>
    <row r="18" spans="1:18" x14ac:dyDescent="0.35">
      <c r="B18" s="68">
        <v>2400</v>
      </c>
      <c r="C18" s="8">
        <f>'Data Sheet SS'!C19*(1+Supascreen!$M$2)</f>
        <v>360.28356236458382</v>
      </c>
      <c r="D18" s="9">
        <f>'Data Sheet SS'!D19*(1+Supascreen!$M$2)</f>
        <v>497.5344432653776</v>
      </c>
      <c r="E18" s="9">
        <f>'Data Sheet SS'!E19*(1+Supascreen!$M$2)</f>
        <v>634.78532416617134</v>
      </c>
      <c r="F18" s="9">
        <f>'Data Sheet SS'!F19*(1+Supascreen!$M$2)</f>
        <v>772.03620506696529</v>
      </c>
      <c r="G18" s="9">
        <f>'Data Sheet SS'!G19*(1+Supascreen!$M$2)</f>
        <v>909.28708596775903</v>
      </c>
      <c r="H18" s="9">
        <f>'Data Sheet SS'!H19*(1+Supascreen!$M$2)</f>
        <v>1029.3816067559535</v>
      </c>
      <c r="I18" s="9">
        <f>'Data Sheet SS'!I19*(1+Supascreen!$M$2)</f>
        <v>1166.6324876567473</v>
      </c>
      <c r="J18" s="9">
        <f>'Data Sheet SS'!J19*(1+Supascreen!$M$2)</f>
        <v>1321.03972867014</v>
      </c>
      <c r="K18" s="9">
        <f>'Data Sheet SS'!K19*(1+Supascreen!$M$2)</f>
        <v>1458.2906095709343</v>
      </c>
      <c r="L18" s="9">
        <f>'Data Sheet SS'!L19*(1+Supascreen!$M$2)</f>
        <v>1595.5414904717277</v>
      </c>
      <c r="M18" s="9">
        <f>'Data Sheet SS'!M19*(1+Supascreen!$M$2)</f>
        <v>1715.636011259923</v>
      </c>
      <c r="N18" s="9">
        <f>'Data Sheet SS'!N19*(1+Supascreen!$M$2)</f>
        <v>1852.8868921607163</v>
      </c>
      <c r="O18" s="9">
        <f>'Data Sheet SS'!O19*(1+Supascreen!$M$2)</f>
        <v>1990.1377730615104</v>
      </c>
      <c r="P18" s="9">
        <f>'Data Sheet SS'!P19*(1+Supascreen!$M$2)</f>
        <v>2127.388653962304</v>
      </c>
      <c r="Q18" s="9">
        <f>'Data Sheet SS'!Q19*(1+Supascreen!$M$2)</f>
        <v>2264.6395348630977</v>
      </c>
      <c r="R18" s="10">
        <f>'Data Sheet SS'!R19*(1+Supascreen!$M$2)</f>
        <v>2401.8904157638922</v>
      </c>
    </row>
    <row r="19" spans="1:18" ht="15" thickBot="1" x14ac:dyDescent="0.4">
      <c r="B19" s="67">
        <v>2550</v>
      </c>
      <c r="C19" s="11">
        <f>'Data Sheet SS'!C20*(1+Supascreen!$M$2)</f>
        <v>377.43992247718296</v>
      </c>
      <c r="D19" s="12">
        <f>'Data Sheet SS'!D20*(1+Supascreen!$M$2)</f>
        <v>514.69080337797675</v>
      </c>
      <c r="E19" s="12">
        <f>'Data Sheet SS'!E20*(1+Supascreen!$M$2)</f>
        <v>669.09804439136985</v>
      </c>
      <c r="F19" s="12">
        <f>'Data Sheet SS'!F20*(1+Supascreen!$M$2)</f>
        <v>806.34892529216381</v>
      </c>
      <c r="G19" s="12">
        <f>'Data Sheet SS'!G20*(1+Supascreen!$M$2)</f>
        <v>943.59980619295766</v>
      </c>
      <c r="H19" s="12">
        <f>'Data Sheet SS'!H20*(1+Supascreen!$M$2)</f>
        <v>1098.0070472063505</v>
      </c>
      <c r="I19" s="12">
        <f>'Data Sheet SS'!I20*(1+Supascreen!$M$2)</f>
        <v>1235.2579281071444</v>
      </c>
      <c r="J19" s="12">
        <f>'Data Sheet SS'!J20*(1+Supascreen!$M$2)</f>
        <v>1389.6651691205375</v>
      </c>
      <c r="K19" s="12">
        <f>'Data Sheet SS'!K20*(1+Supascreen!$M$2)</f>
        <v>1544.0724101339306</v>
      </c>
      <c r="L19" s="12">
        <f>'Data Sheet SS'!L20*(1+Supascreen!$M$2)</f>
        <v>1681.3232910347238</v>
      </c>
      <c r="M19" s="12">
        <f>'Data Sheet SS'!M20*(1+Supascreen!$M$2)</f>
        <v>1818.5741719355181</v>
      </c>
      <c r="N19" s="12">
        <f>'Data Sheet SS'!N20*(1+Supascreen!$M$2)</f>
        <v>1972.9814129489109</v>
      </c>
      <c r="O19" s="12">
        <f>'Data Sheet SS'!O20*(1+Supascreen!$M$2)</f>
        <v>2110.232293849705</v>
      </c>
      <c r="P19" s="12">
        <f>'Data Sheet SS'!P20*(1+Supascreen!$M$2)</f>
        <v>2264.6395348630977</v>
      </c>
      <c r="Q19" s="12">
        <f>'Data Sheet SS'!Q20*(1+Supascreen!$M$2)</f>
        <v>2401.8904157638922</v>
      </c>
      <c r="R19" s="13">
        <f>'Data Sheet SS'!R20*(1+Supascreen!$M$2)</f>
        <v>2539.1412966646853</v>
      </c>
    </row>
    <row r="20" spans="1:18" ht="10.75" customHeight="1" thickTop="1" x14ac:dyDescent="0.3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ht="15" thickBot="1" x14ac:dyDescent="0.4">
      <c r="G21" s="3"/>
      <c r="H21" s="106"/>
      <c r="I21" s="107"/>
      <c r="K21" s="66"/>
      <c r="L21" s="65" t="s">
        <v>64</v>
      </c>
      <c r="M21" s="64">
        <v>5.5E-2</v>
      </c>
    </row>
    <row r="22" spans="1:18" ht="24" thickTop="1" x14ac:dyDescent="0.55000000000000004">
      <c r="C22" s="114" t="s">
        <v>63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</row>
    <row r="23" spans="1:18" ht="15" thickBot="1" x14ac:dyDescent="0.4">
      <c r="C23" s="63">
        <v>825</v>
      </c>
      <c r="D23" s="62">
        <v>875</v>
      </c>
      <c r="E23" s="62">
        <v>925</v>
      </c>
      <c r="F23" s="62">
        <v>975</v>
      </c>
      <c r="G23" s="62">
        <v>1025</v>
      </c>
      <c r="H23" s="62">
        <v>1075</v>
      </c>
      <c r="I23" s="62">
        <v>1125</v>
      </c>
      <c r="J23" s="62">
        <v>1175</v>
      </c>
      <c r="K23" s="62">
        <v>1225</v>
      </c>
      <c r="L23" s="62">
        <v>1275</v>
      </c>
      <c r="M23" s="62">
        <v>1325</v>
      </c>
      <c r="N23" s="62">
        <v>1375</v>
      </c>
      <c r="O23" s="62">
        <v>1425</v>
      </c>
      <c r="P23" s="61">
        <v>1500</v>
      </c>
    </row>
    <row r="24" spans="1:18" ht="15" thickTop="1" x14ac:dyDescent="0.35">
      <c r="B24" s="60">
        <v>2100</v>
      </c>
      <c r="C24" s="5">
        <f>(IF('Data Sheet SS'!C24="N/A", "N/A",('Data Sheet SS'!C24*(1+Supascreen!$M$21))))</f>
        <v>1081.1569630544038</v>
      </c>
      <c r="D24" s="23">
        <f>(IF('Data Sheet SS'!D24="N/A", "N/A",('Data Sheet SS'!D24*(1+Supascreen!$M$21))))</f>
        <v>1086.5627478696761</v>
      </c>
      <c r="E24" s="23">
        <f>(IF('Data Sheet SS'!E24="N/A", "N/A",('Data Sheet SS'!E24*(1+Supascreen!$M$21))))</f>
        <v>1102.7801023154921</v>
      </c>
      <c r="F24" s="23">
        <f>(IF('Data Sheet SS'!F24="N/A", "N/A",('Data Sheet SS'!F24*(1+Supascreen!$M$21))))</f>
        <v>1118.9974567613081</v>
      </c>
      <c r="G24" s="23">
        <f>(IF('Data Sheet SS'!G24="N/A", "N/A",('Data Sheet SS'!G24*(1+Supascreen!$M$21))))</f>
        <v>1151.4321656529401</v>
      </c>
      <c r="H24" s="23">
        <f>(IF('Data Sheet SS'!H24="N/A", "N/A",('Data Sheet SS'!H24*(1+Supascreen!$M$21))))</f>
        <v>1183.8668745445721</v>
      </c>
      <c r="I24" s="23">
        <f>(IF('Data Sheet SS'!I24="N/A", "N/A",('Data Sheet SS'!I24*(1+Supascreen!$M$21))))</f>
        <v>1216.3015834362043</v>
      </c>
      <c r="J24" s="23">
        <f>(IF('Data Sheet SS'!J24="N/A", "N/A",('Data Sheet SS'!J24*(1+Supascreen!$M$21))))</f>
        <v>1248.7362923278363</v>
      </c>
      <c r="K24" s="23">
        <f>(IF('Data Sheet SS'!K24="N/A", "N/A",('Data Sheet SS'!K24*(1+Supascreen!$M$21))))</f>
        <v>1313.605710111101</v>
      </c>
      <c r="L24" s="23">
        <f>(IF('Data Sheet SS'!L24="N/A", "N/A",('Data Sheet SS'!L24*(1+Supascreen!$M$21))))</f>
        <v>1329.823064556917</v>
      </c>
      <c r="M24" s="23">
        <f>(IF('Data Sheet SS'!M24="N/A", "N/A",('Data Sheet SS'!M24*(1+Supascreen!$M$21))))</f>
        <v>1362.2577734485492</v>
      </c>
      <c r="N24" s="23">
        <f>(IF('Data Sheet SS'!N24="N/A", "N/A",('Data Sheet SS'!N24*(1+Supascreen!$M$21))))</f>
        <v>1394.692482340181</v>
      </c>
      <c r="O24" s="23">
        <f>(IF('Data Sheet SS'!O24="N/A", "N/A",('Data Sheet SS'!O24*(1+Supascreen!$M$21))))</f>
        <v>1427.1271912318127</v>
      </c>
      <c r="P24" s="7">
        <f>(IF('Data Sheet SS'!P24="N/A", "N/A",('Data Sheet SS'!P24*(1+Supascreen!$M$21))))</f>
        <v>1540.6486723525256</v>
      </c>
    </row>
    <row r="25" spans="1:18" x14ac:dyDescent="0.35">
      <c r="B25" s="59">
        <v>2200</v>
      </c>
      <c r="C25" s="24">
        <f>(IF('Data Sheet SS'!C25="N/A", "N/A",('Data Sheet SS'!C25*(1+Supascreen!$M$21))))</f>
        <v>1102.7801023154921</v>
      </c>
      <c r="D25" s="9">
        <f>(IF('Data Sheet SS'!D25="N/A", "N/A",('Data Sheet SS'!D25*(1+Supascreen!$M$21))))</f>
        <v>1119.7697117349182</v>
      </c>
      <c r="E25" s="9">
        <f>(IF('Data Sheet SS'!E25="N/A", "N/A",('Data Sheet SS'!E25*(1+Supascreen!$M$21))))</f>
        <v>1135.2148112071241</v>
      </c>
      <c r="F25" s="9">
        <f>(IF('Data Sheet SS'!F25="N/A", "N/A",('Data Sheet SS'!F25*(1+Supascreen!$M$21))))</f>
        <v>1151.4321656529401</v>
      </c>
      <c r="G25" s="9">
        <f>(IF('Data Sheet SS'!G25="N/A", "N/A",('Data Sheet SS'!G25*(1+Supascreen!$M$21))))</f>
        <v>1183.8668745445721</v>
      </c>
      <c r="H25" s="9">
        <f>(IF('Data Sheet SS'!H25="N/A", "N/A",('Data Sheet SS'!H25*(1+Supascreen!$M$21))))</f>
        <v>1216.3015834362043</v>
      </c>
      <c r="I25" s="9">
        <f>(IF('Data Sheet SS'!I25="N/A", "N/A",('Data Sheet SS'!I25*(1+Supascreen!$M$21))))</f>
        <v>1248.7362923278363</v>
      </c>
      <c r="J25" s="9">
        <f>(IF('Data Sheet SS'!J25="N/A", "N/A",('Data Sheet SS'!J25*(1+Supascreen!$M$21))))</f>
        <v>1281.1710012194687</v>
      </c>
      <c r="K25" s="9">
        <f>(IF('Data Sheet SS'!K25="N/A", "N/A",('Data Sheet SS'!K25*(1+Supascreen!$M$21))))</f>
        <v>1346.040419002733</v>
      </c>
      <c r="L25" s="9">
        <f>(IF('Data Sheet SS'!L25="N/A", "N/A",('Data Sheet SS'!L25*(1+Supascreen!$M$21))))</f>
        <v>1362.2577734485492</v>
      </c>
      <c r="M25" s="9">
        <f>(IF('Data Sheet SS'!M25="N/A", "N/A",('Data Sheet SS'!M25*(1+Supascreen!$M$21))))</f>
        <v>1394.692482340181</v>
      </c>
      <c r="N25" s="9">
        <f>(IF('Data Sheet SS'!N25="N/A", "N/A",('Data Sheet SS'!N25*(1+Supascreen!$M$21))))</f>
        <v>1427.1271912318127</v>
      </c>
      <c r="O25" s="9">
        <f>(IF('Data Sheet SS'!O25="N/A", "N/A",('Data Sheet SS'!O25*(1+Supascreen!$M$21))))</f>
        <v>1459.5619001234452</v>
      </c>
      <c r="P25" s="10">
        <f>(IF('Data Sheet SS'!P25="N/A", "N/A",('Data Sheet SS'!P25*(1+Supascreen!$M$21))))</f>
        <v>1605.5180901357896</v>
      </c>
    </row>
    <row r="26" spans="1:18" x14ac:dyDescent="0.35">
      <c r="B26" s="59">
        <v>2300</v>
      </c>
      <c r="C26" s="24">
        <f>(IF('Data Sheet SS'!C26="N/A", "N/A",('Data Sheet SS'!C26*(1+Supascreen!$M$21))))</f>
        <v>1135.2148112071241</v>
      </c>
      <c r="D26" s="9">
        <f>(IF('Data Sheet SS'!D26="N/A", "N/A",('Data Sheet SS'!D26*(1+Supascreen!$M$21))))</f>
        <v>1142.9373609432271</v>
      </c>
      <c r="E26" s="9">
        <f>(IF('Data Sheet SS'!E26="N/A", "N/A",('Data Sheet SS'!E26*(1+Supascreen!$M$21))))</f>
        <v>1151.4321656529401</v>
      </c>
      <c r="F26" s="9">
        <f>(IF('Data Sheet SS'!F26="N/A", "N/A",('Data Sheet SS'!F26*(1+Supascreen!$M$21))))</f>
        <v>1183.8668745445721</v>
      </c>
      <c r="G26" s="9">
        <f>(IF('Data Sheet SS'!G26="N/A", "N/A",('Data Sheet SS'!G26*(1+Supascreen!$M$21))))</f>
        <v>1216.3015834362043</v>
      </c>
      <c r="H26" s="9">
        <f>(IF('Data Sheet SS'!H26="N/A", "N/A",('Data Sheet SS'!H26*(1+Supascreen!$M$21))))</f>
        <v>1248.7362923278363</v>
      </c>
      <c r="I26" s="9">
        <f>(IF('Data Sheet SS'!I26="N/A", "N/A",('Data Sheet SS'!I26*(1+Supascreen!$M$21))))</f>
        <v>1281.1710012194687</v>
      </c>
      <c r="J26" s="9">
        <f>(IF('Data Sheet SS'!J26="N/A", "N/A",('Data Sheet SS'!J26*(1+Supascreen!$M$21))))</f>
        <v>1313.605710111101</v>
      </c>
      <c r="K26" s="9">
        <f>(IF('Data Sheet SS'!K26="N/A", "N/A",('Data Sheet SS'!K26*(1+Supascreen!$M$21))))</f>
        <v>1379.9821999999999</v>
      </c>
      <c r="L26" s="9">
        <f>(IF('Data Sheet SS'!L26="N/A", "N/A",('Data Sheet SS'!L26*(1+Supascreen!$M$21))))</f>
        <v>1378.4751278943643</v>
      </c>
      <c r="M26" s="9">
        <f>(IF('Data Sheet SS'!M26="N/A", "N/A",('Data Sheet SS'!M26*(1+Supascreen!$M$21))))</f>
        <v>1427.1271912318127</v>
      </c>
      <c r="N26" s="9">
        <f>(IF('Data Sheet SS'!N26="N/A", "N/A",('Data Sheet SS'!N26*(1+Supascreen!$M$21))))</f>
        <v>1459.5619001234452</v>
      </c>
      <c r="O26" s="9">
        <f>(IF('Data Sheet SS'!O26="N/A", "N/A",('Data Sheet SS'!O26*(1+Supascreen!$M$21))))</f>
        <v>1491.9966090150774</v>
      </c>
      <c r="P26" s="10">
        <f>(IF('Data Sheet SS'!P26="N/A", "N/A",('Data Sheet SS'!P26*(1+Supascreen!$M$21))))</f>
        <v>1670.3875079190539</v>
      </c>
    </row>
    <row r="27" spans="1:18" x14ac:dyDescent="0.35">
      <c r="B27" s="59">
        <v>2400</v>
      </c>
      <c r="C27" s="24">
        <f>(IF('Data Sheet SS'!C27="N/A", "N/A",('Data Sheet SS'!C27*(1+Supascreen!$M$21))))</f>
        <v>1151.4321656529401</v>
      </c>
      <c r="D27" s="9">
        <f>(IF('Data Sheet SS'!D27="N/A", "N/A",('Data Sheet SS'!D27*(1+Supascreen!$M$21))))</f>
        <v>1167.6495200987561</v>
      </c>
      <c r="E27" s="9">
        <f>(IF('Data Sheet SS'!E27="N/A", "N/A",('Data Sheet SS'!E27*(1+Supascreen!$M$21))))</f>
        <v>1183.8668745445721</v>
      </c>
      <c r="F27" s="9">
        <f>(IF('Data Sheet SS'!F27="N/A", "N/A",('Data Sheet SS'!F27*(1+Supascreen!$M$21))))</f>
        <v>1216.3015834362043</v>
      </c>
      <c r="G27" s="9">
        <f>(IF('Data Sheet SS'!G27="N/A", "N/A",('Data Sheet SS'!G27*(1+Supascreen!$M$21))))</f>
        <v>1248.7362923278363</v>
      </c>
      <c r="H27" s="9">
        <f>(IF('Data Sheet SS'!H27="N/A", "N/A",('Data Sheet SS'!H27*(1+Supascreen!$M$21))))</f>
        <v>1281.1710012194687</v>
      </c>
      <c r="I27" s="9">
        <f>(IF('Data Sheet SS'!I27="N/A", "N/A",('Data Sheet SS'!I27*(1+Supascreen!$M$21))))</f>
        <v>1313.605710111101</v>
      </c>
      <c r="J27" s="9">
        <f>(IF('Data Sheet SS'!J27="N/A", "N/A",('Data Sheet SS'!J27*(1+Supascreen!$M$21))))</f>
        <v>1346.040419002733</v>
      </c>
      <c r="K27" s="9">
        <f>(IF('Data Sheet SS'!K27="N/A", "N/A",('Data Sheet SS'!K27*(1+Supascreen!$M$21))))</f>
        <v>1412.4129</v>
      </c>
      <c r="L27" s="9">
        <f>(IF('Data Sheet SS'!L27="N/A", "N/A",('Data Sheet SS'!L27*(1+Supascreen!$M$21))))</f>
        <v>1427.1271912318127</v>
      </c>
      <c r="M27" s="9">
        <f>(IF('Data Sheet SS'!M27="N/A", "N/A",('Data Sheet SS'!M27*(1+Supascreen!$M$21))))</f>
        <v>1459.5619001234452</v>
      </c>
      <c r="N27" s="9">
        <f>(IF('Data Sheet SS'!N27="N/A", "N/A",('Data Sheet SS'!N27*(1+Supascreen!$M$21))))</f>
        <v>1491.9966090150774</v>
      </c>
      <c r="O27" s="9">
        <f>(IF('Data Sheet SS'!O27="N/A", "N/A",('Data Sheet SS'!O27*(1+Supascreen!$M$21))))</f>
        <v>1524.4313179067096</v>
      </c>
      <c r="P27" s="10">
        <f>(IF('Data Sheet SS'!P27="N/A", "N/A",('Data Sheet SS'!P27*(1+Supascreen!$M$21))))</f>
        <v>1735.2569257023179</v>
      </c>
    </row>
    <row r="28" spans="1:18" s="2" customFormat="1" x14ac:dyDescent="0.35">
      <c r="A28"/>
      <c r="B28" s="59">
        <v>2500</v>
      </c>
      <c r="C28" s="24">
        <f>(IF('Data Sheet SS'!C28="N/A", "N/A",('Data Sheet SS'!C28*(1+Supascreen!$M$21))))</f>
        <v>1183.8668745445721</v>
      </c>
      <c r="D28" s="9">
        <f>(IF('Data Sheet SS'!D28="N/A", "N/A",('Data Sheet SS'!D28*(1+Supascreen!$M$21))))</f>
        <v>1200.0842289903883</v>
      </c>
      <c r="E28" s="9">
        <f>(IF('Data Sheet SS'!E28="N/A", "N/A",('Data Sheet SS'!E28*(1+Supascreen!$M$21))))</f>
        <v>1216.3015834362043</v>
      </c>
      <c r="F28" s="9">
        <f>(IF('Data Sheet SS'!F28="N/A", "N/A",('Data Sheet SS'!F28*(1+Supascreen!$M$21))))</f>
        <v>1248.7362923278363</v>
      </c>
      <c r="G28" s="9">
        <f>(IF('Data Sheet SS'!G28="N/A", "N/A",('Data Sheet SS'!G28*(1+Supascreen!$M$21))))</f>
        <v>1281.1710012194687</v>
      </c>
      <c r="H28" s="9">
        <f>(IF('Data Sheet SS'!H28="N/A", "N/A",('Data Sheet SS'!H28*(1+Supascreen!$M$21))))</f>
        <v>1313.605710111101</v>
      </c>
      <c r="I28" s="9">
        <f>(IF('Data Sheet SS'!I28="N/A", "N/A",('Data Sheet SS'!I28*(1+Supascreen!$M$21))))</f>
        <v>1346.040419002733</v>
      </c>
      <c r="J28" s="9">
        <f>(IF('Data Sheet SS'!J28="N/A", "N/A",('Data Sheet SS'!J28*(1+Supascreen!$M$21))))</f>
        <v>1378.4751278943643</v>
      </c>
      <c r="K28" s="9">
        <f>(IF('Data Sheet SS'!K28="N/A", "N/A",('Data Sheet SS'!K28*(1+Supascreen!$M$21))))</f>
        <v>1443.3445456776292</v>
      </c>
      <c r="L28" s="9">
        <f>(IF('Data Sheet SS'!L28="N/A", "N/A",('Data Sheet SS'!L28*(1+Supascreen!$M$21))))</f>
        <v>1459.5619001234452</v>
      </c>
      <c r="M28" s="9">
        <f>(IF('Data Sheet SS'!M28="N/A", "N/A",('Data Sheet SS'!M28*(1+Supascreen!$M$21))))</f>
        <v>1491.9966090150774</v>
      </c>
      <c r="N28" s="9">
        <f>(IF('Data Sheet SS'!N28="N/A", "N/A",('Data Sheet SS'!N28*(1+Supascreen!$M$21))))</f>
        <v>1524.4313179067096</v>
      </c>
      <c r="O28" s="9">
        <f>(IF('Data Sheet SS'!O28="N/A", "N/A",('Data Sheet SS'!O28*(1+Supascreen!$M$21))))</f>
        <v>1556.8660267983414</v>
      </c>
      <c r="P28" s="10">
        <f>(IF('Data Sheet SS'!P28="N/A", "N/A",('Data Sheet SS'!P28*(1+Supascreen!$M$21))))</f>
        <v>1800.1263434855825</v>
      </c>
    </row>
    <row r="29" spans="1:18" s="2" customFormat="1" ht="15" thickBot="1" x14ac:dyDescent="0.4">
      <c r="A29"/>
      <c r="B29" s="58">
        <v>2600</v>
      </c>
      <c r="C29" s="11">
        <f>(IF('Data Sheet SS'!C29="N/A", "N/A",('Data Sheet SS'!C29*(1+Supascreen!$M$21))))</f>
        <v>1216.3015834362043</v>
      </c>
      <c r="D29" s="12">
        <f>(IF('Data Sheet SS'!D29="N/A", "N/A",('Data Sheet SS'!D29*(1+Supascreen!$M$21))))</f>
        <v>1248.7362923278363</v>
      </c>
      <c r="E29" s="12">
        <f>(IF('Data Sheet SS'!E29="N/A", "N/A",('Data Sheet SS'!E29*(1+Supascreen!$M$21))))</f>
        <v>1281.1710012194687</v>
      </c>
      <c r="F29" s="12">
        <f>(IF('Data Sheet SS'!F29="N/A", "N/A",('Data Sheet SS'!F29*(1+Supascreen!$M$21))))</f>
        <v>1313.605710111101</v>
      </c>
      <c r="G29" s="12">
        <f>(IF('Data Sheet SS'!G29="N/A", "N/A",('Data Sheet SS'!G29*(1+Supascreen!$M$21))))</f>
        <v>1346.040419002733</v>
      </c>
      <c r="H29" s="12">
        <f>(IF('Data Sheet SS'!H29="N/A", "N/A",('Data Sheet SS'!H29*(1+Supascreen!$M$21))))</f>
        <v>1378.4751278943643</v>
      </c>
      <c r="I29" s="12">
        <f>(IF('Data Sheet SS'!I29="N/A", "N/A",('Data Sheet SS'!I29*(1+Supascreen!$M$21))))</f>
        <v>1410.9098367859967</v>
      </c>
      <c r="J29" s="12">
        <f>(IF('Data Sheet SS'!J29="N/A", "N/A",('Data Sheet SS'!J29*(1+Supascreen!$M$21))))</f>
        <v>1475.7792545692614</v>
      </c>
      <c r="K29" s="12">
        <f>(IF('Data Sheet SS'!K29="N/A", "N/A",('Data Sheet SS'!K29*(1+Supascreen!$M$21))))</f>
        <v>1491.9966090150774</v>
      </c>
      <c r="L29" s="12">
        <f>(IF('Data Sheet SS'!L29="N/A", "N/A",('Data Sheet SS'!L29*(1+Supascreen!$M$21))))</f>
        <v>1524.4313179067096</v>
      </c>
      <c r="M29" s="12">
        <f>(IF('Data Sheet SS'!M29="N/A", "N/A",('Data Sheet SS'!M29*(1+Supascreen!$M$21))))</f>
        <v>1556.8660267983414</v>
      </c>
      <c r="N29" s="12">
        <f>(IF('Data Sheet SS'!N29="N/A", "N/A",('Data Sheet SS'!N29*(1+Supascreen!$M$21))))</f>
        <v>1589.3007356899732</v>
      </c>
      <c r="O29" s="12">
        <f>(IF('Data Sheet SS'!O29="N/A", "N/A",('Data Sheet SS'!O29*(1+Supascreen!$M$21))))</f>
        <v>1621.7354445816059</v>
      </c>
      <c r="P29" s="13">
        <f>(IF('Data Sheet SS'!P29="N/A", "N/A",('Data Sheet SS'!P29*(1+Supascreen!$M$21))))</f>
        <v>1864.9957612688468</v>
      </c>
    </row>
    <row r="30" spans="1:18" s="2" customFormat="1" ht="15" thickTop="1" x14ac:dyDescent="0.35">
      <c r="A30"/>
      <c r="B30" s="1"/>
    </row>
    <row r="31" spans="1:18" ht="18.5" x14ac:dyDescent="0.45">
      <c r="B31" s="113" t="s">
        <v>1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</row>
  </sheetData>
  <mergeCells count="6">
    <mergeCell ref="A1:R1"/>
    <mergeCell ref="C4:R4"/>
    <mergeCell ref="C22:P22"/>
    <mergeCell ref="H2:I2"/>
    <mergeCell ref="B31:R31"/>
    <mergeCell ref="H21:I21"/>
  </mergeCells>
  <pageMargins left="3.937007874015748E-2" right="3.937007874015748E-2" top="0.23622047244094491" bottom="0.23622047244094491" header="0.11811023622047245" footer="0.11811023622047245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B9BC-8043-4FAF-A34E-594865846560}">
  <sheetPr>
    <tabColor rgb="FFFF0000"/>
  </sheetPr>
  <dimension ref="A1:R30"/>
  <sheetViews>
    <sheetView workbookViewId="0">
      <selection activeCell="C7" sqref="C7:R20"/>
    </sheetView>
  </sheetViews>
  <sheetFormatPr defaultRowHeight="14.5" x14ac:dyDescent="0.35"/>
  <cols>
    <col min="1" max="1" width="2.90625" customWidth="1"/>
    <col min="2" max="2" width="8.1796875" style="1" customWidth="1"/>
    <col min="3" max="18" width="8.1796875" style="2" customWidth="1"/>
    <col min="19" max="19" width="8.1796875" customWidth="1"/>
  </cols>
  <sheetData>
    <row r="1" spans="1:18" ht="33.5" x14ac:dyDescent="0.75">
      <c r="A1" s="119" t="s">
        <v>71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18" ht="15" customHeight="1" x14ac:dyDescent="0.35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3" spans="1:18" ht="26" x14ac:dyDescent="0.6">
      <c r="A3" s="125" t="s">
        <v>70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4" spans="1:18" ht="11" customHeight="1" thickBot="1" x14ac:dyDescent="0.4"/>
    <row r="5" spans="1:18" ht="24" thickTop="1" x14ac:dyDescent="0.55000000000000004">
      <c r="C5" s="122" t="s">
        <v>73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4"/>
    </row>
    <row r="6" spans="1:18" ht="15" thickBot="1" x14ac:dyDescent="0.4">
      <c r="B6" s="4"/>
      <c r="C6" s="95">
        <v>300</v>
      </c>
      <c r="D6" s="94">
        <v>450</v>
      </c>
      <c r="E6" s="94">
        <v>600</v>
      </c>
      <c r="F6" s="94">
        <v>750</v>
      </c>
      <c r="G6" s="94">
        <v>900</v>
      </c>
      <c r="H6" s="94">
        <v>1050</v>
      </c>
      <c r="I6" s="94">
        <v>1200</v>
      </c>
      <c r="J6" s="94">
        <v>1350</v>
      </c>
      <c r="K6" s="94">
        <v>1500</v>
      </c>
      <c r="L6" s="94">
        <v>1650</v>
      </c>
      <c r="M6" s="94">
        <v>1800</v>
      </c>
      <c r="N6" s="94">
        <v>1950</v>
      </c>
      <c r="O6" s="94">
        <v>2100</v>
      </c>
      <c r="P6" s="94">
        <v>2250</v>
      </c>
      <c r="Q6" s="94">
        <v>2400</v>
      </c>
      <c r="R6" s="93">
        <v>2550</v>
      </c>
    </row>
    <row r="7" spans="1:18" ht="15" thickTop="1" x14ac:dyDescent="0.35">
      <c r="B7" s="96">
        <v>600</v>
      </c>
      <c r="C7" s="5">
        <v>146.35757442027779</v>
      </c>
      <c r="D7" s="23">
        <v>178.88147984700615</v>
      </c>
      <c r="E7" s="23">
        <v>211.40538527373457</v>
      </c>
      <c r="F7" s="23">
        <v>243.92929070046293</v>
      </c>
      <c r="G7" s="23">
        <v>276.45319612719135</v>
      </c>
      <c r="H7" s="23">
        <v>308.97710155391974</v>
      </c>
      <c r="I7" s="23">
        <v>341.50100698064819</v>
      </c>
      <c r="J7" s="23">
        <v>390.28686512074074</v>
      </c>
      <c r="K7" s="23">
        <v>471.59662868756175</v>
      </c>
      <c r="L7" s="23">
        <v>455.33467597419747</v>
      </c>
      <c r="M7" s="23">
        <v>487.85858140092586</v>
      </c>
      <c r="N7" s="23">
        <v>520.38248682765436</v>
      </c>
      <c r="O7" s="23">
        <v>552.90639225438269</v>
      </c>
      <c r="P7" s="23">
        <v>585.43029768111114</v>
      </c>
      <c r="Q7" s="23">
        <v>617.95420310783948</v>
      </c>
      <c r="R7" s="7">
        <v>650.47810853456792</v>
      </c>
    </row>
    <row r="8" spans="1:18" x14ac:dyDescent="0.35">
      <c r="B8" s="89">
        <v>750</v>
      </c>
      <c r="C8" s="24">
        <v>162.61952713364198</v>
      </c>
      <c r="D8" s="9">
        <v>211.40538527373457</v>
      </c>
      <c r="E8" s="9">
        <v>243.92929070046293</v>
      </c>
      <c r="F8" s="9">
        <v>292.71514884055557</v>
      </c>
      <c r="G8" s="9">
        <v>325.23905426728396</v>
      </c>
      <c r="H8" s="9">
        <v>357.7629596940123</v>
      </c>
      <c r="I8" s="9">
        <v>406.54881783410497</v>
      </c>
      <c r="J8" s="9">
        <v>471.59662868756175</v>
      </c>
      <c r="K8" s="9">
        <v>504.12053411429014</v>
      </c>
      <c r="L8" s="9">
        <v>536.64443954101841</v>
      </c>
      <c r="M8" s="9">
        <v>585.43029768111114</v>
      </c>
      <c r="N8" s="9">
        <v>617.95420310783948</v>
      </c>
      <c r="O8" s="9">
        <v>666.74006124793209</v>
      </c>
      <c r="P8" s="9">
        <v>699.26396667466054</v>
      </c>
      <c r="Q8" s="9">
        <v>748.04982481475304</v>
      </c>
      <c r="R8" s="10">
        <v>780.57373024148148</v>
      </c>
    </row>
    <row r="9" spans="1:18" x14ac:dyDescent="0.35">
      <c r="B9" s="89">
        <v>900</v>
      </c>
      <c r="C9" s="24">
        <v>178.88147984700615</v>
      </c>
      <c r="D9" s="9">
        <v>243.92929070046293</v>
      </c>
      <c r="E9" s="9">
        <v>276.45319612719135</v>
      </c>
      <c r="F9" s="9">
        <v>325.23905426728396</v>
      </c>
      <c r="G9" s="9">
        <v>374.02491240737652</v>
      </c>
      <c r="H9" s="9">
        <v>422.81077054746913</v>
      </c>
      <c r="I9" s="9">
        <v>471.59662868756175</v>
      </c>
      <c r="J9" s="9">
        <v>536.64443954101841</v>
      </c>
      <c r="K9" s="9">
        <v>585.43029768111114</v>
      </c>
      <c r="L9" s="9">
        <v>634.21615582120364</v>
      </c>
      <c r="M9" s="9">
        <v>683.00201396129637</v>
      </c>
      <c r="N9" s="9">
        <v>731.78787210138898</v>
      </c>
      <c r="O9" s="9">
        <v>748.04982481475304</v>
      </c>
      <c r="P9" s="9">
        <v>813.09763566820993</v>
      </c>
      <c r="Q9" s="9">
        <v>878.1454465216666</v>
      </c>
      <c r="R9" s="10">
        <v>910.66935194839493</v>
      </c>
    </row>
    <row r="10" spans="1:18" x14ac:dyDescent="0.35">
      <c r="B10" s="89">
        <v>1050</v>
      </c>
      <c r="C10" s="24">
        <v>195.14343256037037</v>
      </c>
      <c r="D10" s="9">
        <v>260.19124341382718</v>
      </c>
      <c r="E10" s="9">
        <v>308.97710155391974</v>
      </c>
      <c r="F10" s="9">
        <v>357.7629596940123</v>
      </c>
      <c r="G10" s="9">
        <v>422.81077054746913</v>
      </c>
      <c r="H10" s="9">
        <v>471.59662868756175</v>
      </c>
      <c r="I10" s="9">
        <v>536.64443954101841</v>
      </c>
      <c r="J10" s="9">
        <v>601.6922503944752</v>
      </c>
      <c r="K10" s="9">
        <v>666.74006124793209</v>
      </c>
      <c r="L10" s="9">
        <v>715.52591938802459</v>
      </c>
      <c r="M10" s="9">
        <v>780.57373024148148</v>
      </c>
      <c r="N10" s="9">
        <v>829.35958838157399</v>
      </c>
      <c r="O10" s="9">
        <v>878.1454465216666</v>
      </c>
      <c r="P10" s="9">
        <v>943.19325737512349</v>
      </c>
      <c r="Q10" s="9">
        <v>991.97911551521611</v>
      </c>
      <c r="R10" s="10">
        <v>1057.0269263686728</v>
      </c>
    </row>
    <row r="11" spans="1:18" x14ac:dyDescent="0.35">
      <c r="B11" s="89">
        <v>1200</v>
      </c>
      <c r="C11" s="24">
        <v>211.40538527373457</v>
      </c>
      <c r="D11" s="9">
        <v>276.45319612719135</v>
      </c>
      <c r="E11" s="9">
        <v>341.50100698064819</v>
      </c>
      <c r="F11" s="9">
        <v>406.54881783410497</v>
      </c>
      <c r="G11" s="9">
        <v>471.59662868756175</v>
      </c>
      <c r="H11" s="9">
        <v>536.64443954101841</v>
      </c>
      <c r="I11" s="9">
        <v>601.6922503944752</v>
      </c>
      <c r="J11" s="9">
        <v>666.74006124793209</v>
      </c>
      <c r="K11" s="9">
        <v>748.04982481475304</v>
      </c>
      <c r="L11" s="9">
        <v>796.83568295484542</v>
      </c>
      <c r="M11" s="9">
        <v>878.1454465216666</v>
      </c>
      <c r="N11" s="9">
        <v>926.93130466175921</v>
      </c>
      <c r="O11" s="9">
        <v>991.97911551521611</v>
      </c>
      <c r="P11" s="9">
        <v>1057.0269263686728</v>
      </c>
      <c r="Q11" s="9">
        <v>1122.0747372221294</v>
      </c>
      <c r="R11" s="10">
        <v>1187.1225480755861</v>
      </c>
    </row>
    <row r="12" spans="1:18" x14ac:dyDescent="0.35">
      <c r="B12" s="89">
        <v>1350</v>
      </c>
      <c r="C12" s="24">
        <v>227.66733798709873</v>
      </c>
      <c r="D12" s="9">
        <v>308.97710155391974</v>
      </c>
      <c r="E12" s="9">
        <v>374.02491240737652</v>
      </c>
      <c r="F12" s="9">
        <v>439.0727232608333</v>
      </c>
      <c r="G12" s="9">
        <v>520.38248682765436</v>
      </c>
      <c r="H12" s="9">
        <v>585.43029768111114</v>
      </c>
      <c r="I12" s="9">
        <v>666.74006124793209</v>
      </c>
      <c r="J12" s="9">
        <v>748.04982481475304</v>
      </c>
      <c r="K12" s="9">
        <v>813.09763566820993</v>
      </c>
      <c r="L12" s="9">
        <v>894.40739923503099</v>
      </c>
      <c r="M12" s="9">
        <v>959.45521008848766</v>
      </c>
      <c r="N12" s="9">
        <v>1040.7649736553087</v>
      </c>
      <c r="O12" s="9">
        <v>1105.8127845087654</v>
      </c>
      <c r="P12" s="9">
        <v>1187.1225480755861</v>
      </c>
      <c r="Q12" s="9">
        <v>1252.1703589290428</v>
      </c>
      <c r="R12" s="10">
        <v>1317.2181697825001</v>
      </c>
    </row>
    <row r="13" spans="1:18" x14ac:dyDescent="0.35">
      <c r="B13" s="89">
        <v>1500</v>
      </c>
      <c r="C13" s="24">
        <v>243.92929070046293</v>
      </c>
      <c r="D13" s="9">
        <v>325.23905426728396</v>
      </c>
      <c r="E13" s="9">
        <v>406.54881783410497</v>
      </c>
      <c r="F13" s="9">
        <v>455.33467597419747</v>
      </c>
      <c r="G13" s="9">
        <v>569.16834496774698</v>
      </c>
      <c r="H13" s="9">
        <v>650.47810853456792</v>
      </c>
      <c r="I13" s="9">
        <v>731.78787210138898</v>
      </c>
      <c r="J13" s="9">
        <v>813.09763566820993</v>
      </c>
      <c r="K13" s="9">
        <v>894.40739923503099</v>
      </c>
      <c r="L13" s="9">
        <v>975.71716280185171</v>
      </c>
      <c r="M13" s="9">
        <v>1057.0269263686728</v>
      </c>
      <c r="N13" s="9">
        <v>1138.336689935494</v>
      </c>
      <c r="O13" s="9">
        <v>1219.6464535023149</v>
      </c>
      <c r="P13" s="9">
        <v>1300.9562170691358</v>
      </c>
      <c r="Q13" s="9">
        <v>1382.2659806359568</v>
      </c>
      <c r="R13" s="10">
        <v>1463.575744202778</v>
      </c>
    </row>
    <row r="14" spans="1:18" x14ac:dyDescent="0.35">
      <c r="B14" s="89">
        <v>1650</v>
      </c>
      <c r="C14" s="24">
        <v>260.19124341382718</v>
      </c>
      <c r="D14" s="9">
        <v>341.50100698064819</v>
      </c>
      <c r="E14" s="9">
        <v>439.0727232608333</v>
      </c>
      <c r="F14" s="9">
        <v>520.38248682765436</v>
      </c>
      <c r="G14" s="9">
        <v>617.95420310783948</v>
      </c>
      <c r="H14" s="9">
        <v>699.26396667466054</v>
      </c>
      <c r="I14" s="9">
        <v>796.83568295484542</v>
      </c>
      <c r="J14" s="9">
        <v>894.40739923503099</v>
      </c>
      <c r="K14" s="9">
        <v>975.71716280185171</v>
      </c>
      <c r="L14" s="9">
        <v>1073.2888790820368</v>
      </c>
      <c r="M14" s="9">
        <v>1154.5986426488578</v>
      </c>
      <c r="N14" s="9">
        <v>1235.908406215679</v>
      </c>
      <c r="O14" s="9">
        <v>1333.4801224958642</v>
      </c>
      <c r="P14" s="9">
        <v>1414.7898860626854</v>
      </c>
      <c r="Q14" s="9">
        <v>1512.3616023428699</v>
      </c>
      <c r="R14" s="10">
        <v>1593.6713659096908</v>
      </c>
    </row>
    <row r="15" spans="1:18" x14ac:dyDescent="0.35">
      <c r="B15" s="89">
        <v>1800</v>
      </c>
      <c r="C15" s="24">
        <v>276.45319612719135</v>
      </c>
      <c r="D15" s="9">
        <v>374.02491240737652</v>
      </c>
      <c r="E15" s="9">
        <v>471.59662868756175</v>
      </c>
      <c r="F15" s="9">
        <v>569.16834496774698</v>
      </c>
      <c r="G15" s="9">
        <v>666.74006124793209</v>
      </c>
      <c r="H15" s="9">
        <v>764.31177752811743</v>
      </c>
      <c r="I15" s="9">
        <v>861.88349380830243</v>
      </c>
      <c r="J15" s="9">
        <v>959.45521008848766</v>
      </c>
      <c r="K15" s="9">
        <v>1057.0269263686728</v>
      </c>
      <c r="L15" s="9">
        <v>1154.5986426488578</v>
      </c>
      <c r="M15" s="9">
        <v>1252.1703589290428</v>
      </c>
      <c r="N15" s="9">
        <v>1349.742075209228</v>
      </c>
      <c r="O15" s="9">
        <v>1447.3137914894135</v>
      </c>
      <c r="P15" s="9">
        <v>1544.8855077695987</v>
      </c>
      <c r="Q15" s="9">
        <v>1626.1952713364199</v>
      </c>
      <c r="R15" s="10">
        <v>1723.7669876166049</v>
      </c>
    </row>
    <row r="16" spans="1:18" x14ac:dyDescent="0.35">
      <c r="B16" s="89">
        <v>1950</v>
      </c>
      <c r="C16" s="24">
        <v>292.71514884055557</v>
      </c>
      <c r="D16" s="9">
        <v>390.28686512074074</v>
      </c>
      <c r="E16" s="9">
        <v>504.12053411429014</v>
      </c>
      <c r="F16" s="9">
        <v>601.6922503944752</v>
      </c>
      <c r="G16" s="9">
        <v>731.78787210138898</v>
      </c>
      <c r="H16" s="9">
        <v>813.09763566820993</v>
      </c>
      <c r="I16" s="9">
        <v>910.66935194839493</v>
      </c>
      <c r="J16" s="9">
        <v>1040.7649736553087</v>
      </c>
      <c r="K16" s="9">
        <v>1138.336689935494</v>
      </c>
      <c r="L16" s="9">
        <v>1235.908406215679</v>
      </c>
      <c r="M16" s="9">
        <v>1349.742075209228</v>
      </c>
      <c r="N16" s="9">
        <v>1447.3137914894135</v>
      </c>
      <c r="O16" s="9">
        <v>1561.147460482963</v>
      </c>
      <c r="P16" s="9">
        <v>1658.719176763148</v>
      </c>
      <c r="Q16" s="9">
        <v>1756.2908930433332</v>
      </c>
      <c r="R16" s="10">
        <v>1870.1245620368825</v>
      </c>
    </row>
    <row r="17" spans="1:18" x14ac:dyDescent="0.35">
      <c r="B17" s="89">
        <v>2100</v>
      </c>
      <c r="C17" s="24">
        <v>308.97710155391974</v>
      </c>
      <c r="D17" s="9">
        <v>422.81077054746913</v>
      </c>
      <c r="E17" s="9">
        <v>536.64443954101841</v>
      </c>
      <c r="F17" s="9">
        <v>650.47810853456792</v>
      </c>
      <c r="G17" s="9">
        <v>764.31177752811743</v>
      </c>
      <c r="H17" s="9">
        <v>861.88349380830243</v>
      </c>
      <c r="I17" s="9">
        <v>975.71716280185171</v>
      </c>
      <c r="J17" s="9">
        <v>1122.0747372221294</v>
      </c>
      <c r="K17" s="9">
        <v>1219.6464535023149</v>
      </c>
      <c r="L17" s="9">
        <v>1333.4801224958642</v>
      </c>
      <c r="M17" s="9">
        <v>1447.3137914894135</v>
      </c>
      <c r="N17" s="9">
        <v>1561.147460482963</v>
      </c>
      <c r="O17" s="9">
        <v>1658.719176763148</v>
      </c>
      <c r="P17" s="9">
        <v>1772.5528457566975</v>
      </c>
      <c r="Q17" s="9">
        <v>1886.386514750247</v>
      </c>
      <c r="R17" s="10">
        <v>2000.2201837437963</v>
      </c>
    </row>
    <row r="18" spans="1:18" x14ac:dyDescent="0.35">
      <c r="B18" s="89">
        <v>2250</v>
      </c>
      <c r="C18" s="24">
        <v>325.23905426728396</v>
      </c>
      <c r="D18" s="9">
        <v>455.33467597419747</v>
      </c>
      <c r="E18" s="9">
        <v>569.16834496774698</v>
      </c>
      <c r="F18" s="9">
        <v>683.00201396129637</v>
      </c>
      <c r="G18" s="9">
        <v>796.83568295484542</v>
      </c>
      <c r="H18" s="9">
        <v>926.93130466175921</v>
      </c>
      <c r="I18" s="9">
        <v>1040.7649736553087</v>
      </c>
      <c r="J18" s="9">
        <v>1187.1225480755861</v>
      </c>
      <c r="K18" s="9">
        <v>1300.9562170691358</v>
      </c>
      <c r="L18" s="9">
        <v>1414.7898860626854</v>
      </c>
      <c r="M18" s="9">
        <v>1544.8855077695987</v>
      </c>
      <c r="N18" s="9">
        <v>1658.719176763148</v>
      </c>
      <c r="O18" s="9">
        <v>1772.5528457566975</v>
      </c>
      <c r="P18" s="9">
        <v>1902.6484674636106</v>
      </c>
      <c r="Q18" s="9">
        <v>2016.4821364571605</v>
      </c>
      <c r="R18" s="10">
        <v>2146.5777581640737</v>
      </c>
    </row>
    <row r="19" spans="1:18" x14ac:dyDescent="0.35">
      <c r="B19" s="89">
        <v>2400</v>
      </c>
      <c r="C19" s="24">
        <v>341.50100698064819</v>
      </c>
      <c r="D19" s="9">
        <v>471.59662868756175</v>
      </c>
      <c r="E19" s="9">
        <v>601.6922503944752</v>
      </c>
      <c r="F19" s="9">
        <v>731.78787210138898</v>
      </c>
      <c r="G19" s="9">
        <v>861.88349380830243</v>
      </c>
      <c r="H19" s="9">
        <v>975.71716280185171</v>
      </c>
      <c r="I19" s="9">
        <v>1105.8127845087654</v>
      </c>
      <c r="J19" s="9">
        <v>1252.1703589290428</v>
      </c>
      <c r="K19" s="9">
        <v>1382.2659806359568</v>
      </c>
      <c r="L19" s="9">
        <v>1512.3616023428699</v>
      </c>
      <c r="M19" s="9">
        <v>1626.1952713364199</v>
      </c>
      <c r="N19" s="9">
        <v>1756.2908930433332</v>
      </c>
      <c r="O19" s="9">
        <v>1886.386514750247</v>
      </c>
      <c r="P19" s="9">
        <v>2016.4821364571605</v>
      </c>
      <c r="Q19" s="9">
        <v>2146.5777581640737</v>
      </c>
      <c r="R19" s="10">
        <v>2276.6733798709879</v>
      </c>
    </row>
    <row r="20" spans="1:18" ht="15" thickBot="1" x14ac:dyDescent="0.4">
      <c r="B20" s="88">
        <v>2550</v>
      </c>
      <c r="C20" s="24">
        <v>357.7629596940123</v>
      </c>
      <c r="D20" s="9">
        <v>487.85858140092586</v>
      </c>
      <c r="E20" s="12">
        <v>634.21615582120364</v>
      </c>
      <c r="F20" s="12">
        <v>764.31177752811743</v>
      </c>
      <c r="G20" s="12">
        <v>894.40739923503099</v>
      </c>
      <c r="H20" s="12">
        <v>1040.7649736553087</v>
      </c>
      <c r="I20" s="12">
        <v>1170.8605953622223</v>
      </c>
      <c r="J20" s="12">
        <v>1317.2181697825001</v>
      </c>
      <c r="K20" s="12">
        <v>1463.575744202778</v>
      </c>
      <c r="L20" s="12">
        <v>1593.6713659096908</v>
      </c>
      <c r="M20" s="12">
        <v>1723.7669876166049</v>
      </c>
      <c r="N20" s="12">
        <v>1870.1245620368825</v>
      </c>
      <c r="O20" s="12">
        <v>2000.2201837437963</v>
      </c>
      <c r="P20" s="12">
        <v>2146.5777581640737</v>
      </c>
      <c r="Q20" s="12">
        <v>2276.6733798709879</v>
      </c>
      <c r="R20" s="13">
        <v>2406.7690015779008</v>
      </c>
    </row>
    <row r="21" spans="1:18" ht="9" customHeight="1" thickTop="1" thickBot="1" x14ac:dyDescent="0.4"/>
    <row r="22" spans="1:18" ht="24" thickTop="1" x14ac:dyDescent="0.55000000000000004">
      <c r="C22" s="122" t="s">
        <v>72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</row>
    <row r="23" spans="1:18" ht="15" thickBot="1" x14ac:dyDescent="0.4">
      <c r="C23" s="95">
        <v>825</v>
      </c>
      <c r="D23" s="94">
        <v>875</v>
      </c>
      <c r="E23" s="94">
        <v>925</v>
      </c>
      <c r="F23" s="94">
        <v>975</v>
      </c>
      <c r="G23" s="94">
        <v>1025</v>
      </c>
      <c r="H23" s="94">
        <v>1075</v>
      </c>
      <c r="I23" s="94">
        <v>1125</v>
      </c>
      <c r="J23" s="94">
        <v>1175</v>
      </c>
      <c r="K23" s="94">
        <v>1225</v>
      </c>
      <c r="L23" s="94">
        <v>1275</v>
      </c>
      <c r="M23" s="94">
        <v>1325</v>
      </c>
      <c r="N23" s="94">
        <v>1375</v>
      </c>
      <c r="O23" s="94">
        <v>1425</v>
      </c>
      <c r="P23" s="93">
        <v>1500</v>
      </c>
      <c r="R23"/>
    </row>
    <row r="24" spans="1:18" ht="15" thickTop="1" x14ac:dyDescent="0.35">
      <c r="B24" s="89">
        <v>2100</v>
      </c>
      <c r="C24" s="92">
        <v>966.78616029187503</v>
      </c>
      <c r="D24" s="91">
        <v>971.62009109333451</v>
      </c>
      <c r="E24" s="91">
        <v>986.12188349771259</v>
      </c>
      <c r="F24" s="91">
        <v>1000.6236759020907</v>
      </c>
      <c r="G24" s="91">
        <v>1029.6272607108467</v>
      </c>
      <c r="H24" s="91">
        <v>1058.6308455196031</v>
      </c>
      <c r="I24" s="91">
        <v>1087.6344303283595</v>
      </c>
      <c r="J24" s="91">
        <v>1116.6380151371156</v>
      </c>
      <c r="K24" s="91">
        <v>1174.6451847546284</v>
      </c>
      <c r="L24" s="91">
        <v>1189.1469771590064</v>
      </c>
      <c r="M24" s="91">
        <v>1218.1505619677628</v>
      </c>
      <c r="N24" s="91">
        <v>1247.1541467765189</v>
      </c>
      <c r="O24" s="91">
        <v>1276.1577315852749</v>
      </c>
      <c r="P24" s="90">
        <v>1377.670278415922</v>
      </c>
      <c r="R24"/>
    </row>
    <row r="25" spans="1:18" x14ac:dyDescent="0.35">
      <c r="B25" s="89">
        <v>2200</v>
      </c>
      <c r="C25" s="24">
        <v>986.12188349771259</v>
      </c>
      <c r="D25" s="9">
        <v>1001.3142374451563</v>
      </c>
      <c r="E25" s="9">
        <v>1015.1254683064687</v>
      </c>
      <c r="F25" s="9">
        <v>1029.6272607108467</v>
      </c>
      <c r="G25" s="9">
        <v>1058.6308455196031</v>
      </c>
      <c r="H25" s="9">
        <v>1087.6344303283595</v>
      </c>
      <c r="I25" s="9">
        <v>1116.6380151371156</v>
      </c>
      <c r="J25" s="9">
        <v>1145.641599945872</v>
      </c>
      <c r="K25" s="9">
        <v>1203.6487695633846</v>
      </c>
      <c r="L25" s="9">
        <v>1218.1505619677628</v>
      </c>
      <c r="M25" s="9">
        <v>1247.1541467765189</v>
      </c>
      <c r="N25" s="9">
        <v>1276.1577315852749</v>
      </c>
      <c r="O25" s="9">
        <v>1305.1613163940312</v>
      </c>
      <c r="P25" s="10">
        <v>1435.6774480334345</v>
      </c>
      <c r="R25"/>
    </row>
    <row r="26" spans="1:18" x14ac:dyDescent="0.35">
      <c r="B26" s="89">
        <v>2300</v>
      </c>
      <c r="C26" s="24">
        <v>1015.1254683064687</v>
      </c>
      <c r="D26" s="9">
        <v>1022.0310837371252</v>
      </c>
      <c r="E26" s="9">
        <v>1029.6272607108467</v>
      </c>
      <c r="F26" s="9">
        <v>1058.6308455196031</v>
      </c>
      <c r="G26" s="9">
        <v>1087.6344303283595</v>
      </c>
      <c r="H26" s="9">
        <v>1116.6380151371156</v>
      </c>
      <c r="I26" s="9">
        <v>1145.641599945872</v>
      </c>
      <c r="J26" s="9">
        <v>1174.6451847546284</v>
      </c>
      <c r="K26" s="9">
        <v>1234</v>
      </c>
      <c r="L26" s="9">
        <v>1232.6523543721403</v>
      </c>
      <c r="M26" s="9">
        <v>1276.1577315852749</v>
      </c>
      <c r="N26" s="9">
        <v>1305.1613163940312</v>
      </c>
      <c r="O26" s="9">
        <v>1334.1649012027876</v>
      </c>
      <c r="P26" s="10">
        <v>1493.6846176509468</v>
      </c>
      <c r="R26"/>
    </row>
    <row r="27" spans="1:18" x14ac:dyDescent="0.35">
      <c r="B27" s="89">
        <v>2400</v>
      </c>
      <c r="C27" s="92">
        <v>1029.6272607108467</v>
      </c>
      <c r="D27" s="91">
        <v>1044.1290531152251</v>
      </c>
      <c r="E27" s="91">
        <v>1058.6308455196031</v>
      </c>
      <c r="F27" s="91">
        <v>1087.6344303283595</v>
      </c>
      <c r="G27" s="91">
        <v>1116.6380151371156</v>
      </c>
      <c r="H27" s="91">
        <v>1145.641599945872</v>
      </c>
      <c r="I27" s="91">
        <v>1174.6451847546284</v>
      </c>
      <c r="J27" s="91">
        <v>1203.6487695633846</v>
      </c>
      <c r="K27" s="91">
        <v>1263</v>
      </c>
      <c r="L27" s="91">
        <v>1276.1577315852749</v>
      </c>
      <c r="M27" s="91">
        <v>1305.1613163940312</v>
      </c>
      <c r="N27" s="91">
        <v>1334.1649012027876</v>
      </c>
      <c r="O27" s="91">
        <v>1363.168486011544</v>
      </c>
      <c r="P27" s="90">
        <v>1551.6917872684592</v>
      </c>
      <c r="R27"/>
    </row>
    <row r="28" spans="1:18" s="2" customFormat="1" x14ac:dyDescent="0.35">
      <c r="A28"/>
      <c r="B28" s="89">
        <v>2500</v>
      </c>
      <c r="C28" s="24">
        <v>1058.6308455196031</v>
      </c>
      <c r="D28" s="9">
        <v>1073.1326379239813</v>
      </c>
      <c r="E28" s="9">
        <v>1087.6344303283595</v>
      </c>
      <c r="F28" s="9">
        <v>1116.6380151371156</v>
      </c>
      <c r="G28" s="9">
        <v>1145.641599945872</v>
      </c>
      <c r="H28" s="9">
        <v>1174.6451847546284</v>
      </c>
      <c r="I28" s="9">
        <v>1203.6487695633846</v>
      </c>
      <c r="J28" s="9">
        <v>1232.6523543721403</v>
      </c>
      <c r="K28" s="9">
        <v>1290.6595239896533</v>
      </c>
      <c r="L28" s="9">
        <v>1305.1613163940312</v>
      </c>
      <c r="M28" s="9">
        <v>1334.1649012027876</v>
      </c>
      <c r="N28" s="9">
        <v>1363.168486011544</v>
      </c>
      <c r="O28" s="9">
        <v>1392.1720708203</v>
      </c>
      <c r="P28" s="10">
        <v>1609.6989568859719</v>
      </c>
    </row>
    <row r="29" spans="1:18" s="2" customFormat="1" ht="15" thickBot="1" x14ac:dyDescent="0.4">
      <c r="A29"/>
      <c r="B29" s="88">
        <v>2600</v>
      </c>
      <c r="C29" s="87">
        <v>1087.6344303283595</v>
      </c>
      <c r="D29" s="12">
        <v>1116.6380151371156</v>
      </c>
      <c r="E29" s="12">
        <v>1145.641599945872</v>
      </c>
      <c r="F29" s="12">
        <v>1174.6451847546284</v>
      </c>
      <c r="G29" s="12">
        <v>1203.6487695633846</v>
      </c>
      <c r="H29" s="12">
        <v>1232.6523543721403</v>
      </c>
      <c r="I29" s="12">
        <v>1261.6559391808967</v>
      </c>
      <c r="J29" s="12">
        <v>1319.6631087984097</v>
      </c>
      <c r="K29" s="12">
        <v>1334.1649012027876</v>
      </c>
      <c r="L29" s="12">
        <v>1363.168486011544</v>
      </c>
      <c r="M29" s="12">
        <v>1392.1720708203</v>
      </c>
      <c r="N29" s="12">
        <v>1421.1756556290559</v>
      </c>
      <c r="O29" s="12">
        <v>1450.1792404378127</v>
      </c>
      <c r="P29" s="13">
        <v>1667.7061265034847</v>
      </c>
    </row>
    <row r="30" spans="1:18" s="2" customFormat="1" ht="15" thickTop="1" x14ac:dyDescent="0.35">
      <c r="A30"/>
      <c r="B30" s="1"/>
    </row>
  </sheetData>
  <mergeCells count="5">
    <mergeCell ref="A1:R1"/>
    <mergeCell ref="A2:R2"/>
    <mergeCell ref="C5:R5"/>
    <mergeCell ref="A3:R3"/>
    <mergeCell ref="C22:P22"/>
  </mergeCells>
  <pageMargins left="3.937007874015748E-2" right="3.937007874015748E-2" top="0.23622047244094491" bottom="0.23622047244094491" header="0.11811023622047245" footer="0.11811023622047245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2A1A-6D5D-4E5E-AE28-37A3042E5882}">
  <sheetPr>
    <tabColor rgb="FF92D050"/>
    <pageSetUpPr fitToPage="1"/>
  </sheetPr>
  <dimension ref="A1:R31"/>
  <sheetViews>
    <sheetView workbookViewId="0">
      <selection activeCell="M2" sqref="M2"/>
    </sheetView>
  </sheetViews>
  <sheetFormatPr defaultRowHeight="14.5" x14ac:dyDescent="0.35"/>
  <cols>
    <col min="1" max="1" width="2.90625" customWidth="1"/>
    <col min="2" max="2" width="8.1796875" style="1" customWidth="1"/>
    <col min="3" max="18" width="8.1796875" style="2" customWidth="1"/>
    <col min="19" max="19" width="8.1796875" customWidth="1"/>
  </cols>
  <sheetData>
    <row r="1" spans="1:18" ht="33.5" x14ac:dyDescent="0.75">
      <c r="A1" s="105" t="s">
        <v>69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x14ac:dyDescent="0.35">
      <c r="G2" s="3" t="s">
        <v>0</v>
      </c>
      <c r="H2" s="106">
        <v>46054</v>
      </c>
      <c r="I2" s="107"/>
      <c r="K2" s="66"/>
      <c r="L2" s="65" t="s">
        <v>64</v>
      </c>
      <c r="M2" s="64">
        <v>5.5E-2</v>
      </c>
    </row>
    <row r="3" spans="1:18" ht="9" customHeight="1" thickBot="1" x14ac:dyDescent="0.4"/>
    <row r="4" spans="1:18" ht="24" thickTop="1" x14ac:dyDescent="0.55000000000000004">
      <c r="C4" s="108" t="s">
        <v>68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/>
    </row>
    <row r="5" spans="1:18" ht="15" thickBot="1" x14ac:dyDescent="0.4">
      <c r="B5" s="4"/>
      <c r="C5" s="78">
        <v>300</v>
      </c>
      <c r="D5" s="77">
        <v>450</v>
      </c>
      <c r="E5" s="77">
        <v>600</v>
      </c>
      <c r="F5" s="77">
        <v>750</v>
      </c>
      <c r="G5" s="77">
        <v>900</v>
      </c>
      <c r="H5" s="77">
        <v>1050</v>
      </c>
      <c r="I5" s="77">
        <v>1200</v>
      </c>
      <c r="J5" s="77">
        <v>1350</v>
      </c>
      <c r="K5" s="77">
        <v>1500</v>
      </c>
      <c r="L5" s="77">
        <v>1650</v>
      </c>
      <c r="M5" s="77">
        <v>1800</v>
      </c>
      <c r="N5" s="77">
        <v>1950</v>
      </c>
      <c r="O5" s="77">
        <v>2100</v>
      </c>
      <c r="P5" s="77">
        <v>2250</v>
      </c>
      <c r="Q5" s="77">
        <v>2400</v>
      </c>
      <c r="R5" s="76">
        <v>2550</v>
      </c>
    </row>
    <row r="6" spans="1:18" ht="15" thickTop="1" x14ac:dyDescent="0.35">
      <c r="B6" s="82">
        <v>600</v>
      </c>
      <c r="C6" s="5">
        <f>('Date Sheet IG '!C8)*(1+' IntrudaGuard'!$M$2)</f>
        <v>129.73799294909341</v>
      </c>
      <c r="D6" s="23">
        <f>('Date Sheet IG '!D8)*(1+' IntrudaGuard'!$M$2)</f>
        <v>158.56865804889196</v>
      </c>
      <c r="E6" s="23">
        <f>('Date Sheet IG '!E8)*(1+' IntrudaGuard'!$M$2)</f>
        <v>187.39932314869048</v>
      </c>
      <c r="F6" s="23">
        <f>('Date Sheet IG '!F8)*(1+' IntrudaGuard'!$M$2)</f>
        <v>216.22998824848895</v>
      </c>
      <c r="G6" s="23">
        <f>('Date Sheet IG '!G8)*(1+' IntrudaGuard'!$M$2)</f>
        <v>245.06065334828756</v>
      </c>
      <c r="H6" s="23">
        <f>('Date Sheet IG '!H8)*(1+' IntrudaGuard'!$M$2)</f>
        <v>273.89131844808611</v>
      </c>
      <c r="I6" s="23">
        <f>('Date Sheet IG '!I8)*(1+' IntrudaGuard'!$M$2)</f>
        <v>302.72198354788458</v>
      </c>
      <c r="J6" s="23">
        <f>('Date Sheet IG '!J8)*(1+' IntrudaGuard'!$M$2)</f>
        <v>345.9679811975825</v>
      </c>
      <c r="K6" s="23">
        <f>('Date Sheet IG '!K8)*(1+' IntrudaGuard'!$M$2)</f>
        <v>418.04464394707878</v>
      </c>
      <c r="L6" s="23">
        <f>('Date Sheet IG '!L8)*(1+' IntrudaGuard'!$M$2)</f>
        <v>403.62931139717949</v>
      </c>
      <c r="M6" s="23">
        <f>('Date Sheet IG '!M8)*(1+' IntrudaGuard'!$M$2)</f>
        <v>432.4599764969779</v>
      </c>
      <c r="N6" s="23">
        <f>('Date Sheet IG '!N8)*(1+' IntrudaGuard'!$M$2)</f>
        <v>461.29064159677648</v>
      </c>
      <c r="O6" s="23">
        <f>('Date Sheet IG '!O8)*(1+' IntrudaGuard'!$M$2)</f>
        <v>490.12130669657512</v>
      </c>
      <c r="P6" s="23">
        <f>('Date Sheet IG '!P8)*(1+' IntrudaGuard'!$M$2)</f>
        <v>518.95197179637364</v>
      </c>
      <c r="Q6" s="23">
        <f>('Date Sheet IG '!Q8)*(1+' IntrudaGuard'!$M$2)</f>
        <v>547.78263689617222</v>
      </c>
      <c r="R6" s="7">
        <f>('Date Sheet IG '!R8)*(1+' IntrudaGuard'!$M$2)</f>
        <v>576.61330199597057</v>
      </c>
    </row>
    <row r="7" spans="1:18" x14ac:dyDescent="0.35">
      <c r="B7" s="81">
        <v>750</v>
      </c>
      <c r="C7" s="8">
        <f>('Date Sheet IG '!C9)*(1+' IntrudaGuard'!$M$2)</f>
        <v>144.15332549899264</v>
      </c>
      <c r="D7" s="9">
        <f>('Date Sheet IG '!D9)*(1+' IntrudaGuard'!$M$2)</f>
        <v>187.39932314869048</v>
      </c>
      <c r="E7" s="9">
        <f>('Date Sheet IG '!E9)*(1+' IntrudaGuard'!$M$2)</f>
        <v>216.22998824848895</v>
      </c>
      <c r="F7" s="9">
        <f>('Date Sheet IG '!F9)*(1+' IntrudaGuard'!$M$2)</f>
        <v>259.47598589818682</v>
      </c>
      <c r="G7" s="9">
        <f>('Date Sheet IG '!G9)*(1+' IntrudaGuard'!$M$2)</f>
        <v>288.30665099798529</v>
      </c>
      <c r="H7" s="9">
        <f>('Date Sheet IG '!H9)*(1+' IntrudaGuard'!$M$2)</f>
        <v>317.13731609778392</v>
      </c>
      <c r="I7" s="9">
        <f>('Date Sheet IG '!I9)*(1+' IntrudaGuard'!$M$2)</f>
        <v>360.38331374748174</v>
      </c>
      <c r="J7" s="9">
        <f>('Date Sheet IG '!J9)*(1+' IntrudaGuard'!$M$2)</f>
        <v>418.04464394707878</v>
      </c>
      <c r="K7" s="9">
        <f>('Date Sheet IG '!K9)*(1+' IntrudaGuard'!$M$2)</f>
        <v>446.87530904687731</v>
      </c>
      <c r="L7" s="9">
        <f>('Date Sheet IG '!L9)*(1+' IntrudaGuard'!$M$2)</f>
        <v>475.70597414667583</v>
      </c>
      <c r="M7" s="9">
        <f>('Date Sheet IG '!M9)*(1+' IntrudaGuard'!$M$2)</f>
        <v>518.95197179637364</v>
      </c>
      <c r="N7" s="9">
        <f>('Date Sheet IG '!N9)*(1+' IntrudaGuard'!$M$2)</f>
        <v>547.78263689617222</v>
      </c>
      <c r="O7" s="9">
        <f>('Date Sheet IG '!O9)*(1+' IntrudaGuard'!$M$2)</f>
        <v>591.02863454586998</v>
      </c>
      <c r="P7" s="9">
        <f>('Date Sheet IG '!P9)*(1+' IntrudaGuard'!$M$2)</f>
        <v>619.85929964566856</v>
      </c>
      <c r="Q7" s="80">
        <f>('Date Sheet IG '!Q9)*(1+' IntrudaGuard'!$M$2)</f>
        <v>663.10529729536631</v>
      </c>
      <c r="R7" s="10">
        <f>('Date Sheet IG '!R9)*(1+' IntrudaGuard'!$M$2)</f>
        <v>691.93596239516501</v>
      </c>
    </row>
    <row r="8" spans="1:18" x14ac:dyDescent="0.35">
      <c r="B8" s="81">
        <v>900</v>
      </c>
      <c r="C8" s="8">
        <f>('Date Sheet IG '!C10)*(1+' IntrudaGuard'!$M$2)</f>
        <v>158.56865804889196</v>
      </c>
      <c r="D8" s="9">
        <f>('Date Sheet IG '!D10)*(1+' IntrudaGuard'!$M$2)</f>
        <v>216.22998824848895</v>
      </c>
      <c r="E8" s="9">
        <f>('Date Sheet IG '!E10)*(1+' IntrudaGuard'!$M$2)</f>
        <v>245.06065334828756</v>
      </c>
      <c r="F8" s="9">
        <f>('Date Sheet IG '!F10)*(1+' IntrudaGuard'!$M$2)</f>
        <v>288.30665099798529</v>
      </c>
      <c r="G8" s="9">
        <f>('Date Sheet IG '!G10)*(1+' IntrudaGuard'!$M$2)</f>
        <v>331.55264864768316</v>
      </c>
      <c r="H8" s="9">
        <f>('Date Sheet IG '!H10)*(1+' IntrudaGuard'!$M$2)</f>
        <v>374.79864629738097</v>
      </c>
      <c r="I8" s="9">
        <f>('Date Sheet IG '!I10)*(1+' IntrudaGuard'!$M$2)</f>
        <v>418.04464394707878</v>
      </c>
      <c r="J8" s="9">
        <f>('Date Sheet IG '!J10)*(1+' IntrudaGuard'!$M$2)</f>
        <v>475.70597414667583</v>
      </c>
      <c r="K8" s="9">
        <f>('Date Sheet IG '!K10)*(1+' IntrudaGuard'!$M$2)</f>
        <v>518.95197179637364</v>
      </c>
      <c r="L8" s="9">
        <f>('Date Sheet IG '!L10)*(1+' IntrudaGuard'!$M$2)</f>
        <v>562.19796944607128</v>
      </c>
      <c r="M8" s="9">
        <f>('Date Sheet IG '!M10)*(1+' IntrudaGuard'!$M$2)</f>
        <v>605.44396709576915</v>
      </c>
      <c r="N8" s="9">
        <f>('Date Sheet IG '!N10)*(1+' IntrudaGuard'!$M$2)</f>
        <v>648.68996474546691</v>
      </c>
      <c r="O8" s="9">
        <f>('Date Sheet IG '!O10)*(1+' IntrudaGuard'!$M$2)</f>
        <v>663.10529729536631</v>
      </c>
      <c r="P8" s="9">
        <f>('Date Sheet IG '!P10)*(1+' IntrudaGuard'!$M$2)</f>
        <v>720.76662749496347</v>
      </c>
      <c r="Q8" s="80">
        <f>('Date Sheet IG '!Q10)*(1+' IntrudaGuard'!$M$2)</f>
        <v>778.42795769456052</v>
      </c>
      <c r="R8" s="10">
        <f>('Date Sheet IG '!R10)*(1+' IntrudaGuard'!$M$2)</f>
        <v>807.25862279435898</v>
      </c>
    </row>
    <row r="9" spans="1:18" x14ac:dyDescent="0.35">
      <c r="B9" s="81">
        <v>1050</v>
      </c>
      <c r="C9" s="8">
        <f>('Date Sheet IG '!C11)*(1+' IntrudaGuard'!$M$2)</f>
        <v>172.98399059879125</v>
      </c>
      <c r="D9" s="9">
        <f>('Date Sheet IG '!D11)*(1+' IntrudaGuard'!$M$2)</f>
        <v>230.64532079838824</v>
      </c>
      <c r="E9" s="9">
        <f>('Date Sheet IG '!E11)*(1+' IntrudaGuard'!$M$2)</f>
        <v>273.89131844808611</v>
      </c>
      <c r="F9" s="9">
        <f>('Date Sheet IG '!F11)*(1+' IntrudaGuard'!$M$2)</f>
        <v>317.13731609778392</v>
      </c>
      <c r="G9" s="9">
        <f>('Date Sheet IG '!G11)*(1+' IntrudaGuard'!$M$2)</f>
        <v>374.79864629738097</v>
      </c>
      <c r="H9" s="9">
        <f>('Date Sheet IG '!H11)*(1+' IntrudaGuard'!$M$2)</f>
        <v>418.04464394707878</v>
      </c>
      <c r="I9" s="9">
        <f>('Date Sheet IG '!I11)*(1+' IntrudaGuard'!$M$2)</f>
        <v>475.70597414667583</v>
      </c>
      <c r="J9" s="9">
        <f>('Date Sheet IG '!J11)*(1+' IntrudaGuard'!$M$2)</f>
        <v>533.36730434627293</v>
      </c>
      <c r="K9" s="9">
        <f>('Date Sheet IG '!K11)*(1+' IntrudaGuard'!$M$2)</f>
        <v>591.02863454586998</v>
      </c>
      <c r="L9" s="9">
        <f>('Date Sheet IG '!L11)*(1+' IntrudaGuard'!$M$2)</f>
        <v>634.27463219556785</v>
      </c>
      <c r="M9" s="9">
        <f>('Date Sheet IG '!M11)*(1+' IntrudaGuard'!$M$2)</f>
        <v>691.93596239516501</v>
      </c>
      <c r="N9" s="9">
        <f>('Date Sheet IG '!N11)*(1+' IntrudaGuard'!$M$2)</f>
        <v>735.18196004486276</v>
      </c>
      <c r="O9" s="9">
        <f>('Date Sheet IG '!O11)*(1+' IntrudaGuard'!$M$2)</f>
        <v>778.42795769456052</v>
      </c>
      <c r="P9" s="9">
        <f>('Date Sheet IG '!P11)*(1+' IntrudaGuard'!$M$2)</f>
        <v>836.08928789415756</v>
      </c>
      <c r="Q9" s="80">
        <f>('Date Sheet IG '!Q11)*(1+' IntrudaGuard'!$M$2)</f>
        <v>879.33528554385521</v>
      </c>
      <c r="R9" s="10">
        <f>('Date Sheet IG '!R11)*(1+' IntrudaGuard'!$M$2)</f>
        <v>936.99661574345237</v>
      </c>
    </row>
    <row r="10" spans="1:18" x14ac:dyDescent="0.35">
      <c r="B10" s="81">
        <v>1200</v>
      </c>
      <c r="C10" s="8">
        <f>('Date Sheet IG '!C12)*(1+' IntrudaGuard'!$M$2)</f>
        <v>187.39932314869048</v>
      </c>
      <c r="D10" s="9">
        <f>('Date Sheet IG '!D12)*(1+' IntrudaGuard'!$M$2)</f>
        <v>245.06065334828756</v>
      </c>
      <c r="E10" s="9">
        <f>('Date Sheet IG '!E12)*(1+' IntrudaGuard'!$M$2)</f>
        <v>302.72198354788458</v>
      </c>
      <c r="F10" s="9">
        <f>('Date Sheet IG '!F12)*(1+' IntrudaGuard'!$M$2)</f>
        <v>360.38331374748174</v>
      </c>
      <c r="G10" s="9">
        <f>('Date Sheet IG '!G12)*(1+' IntrudaGuard'!$M$2)</f>
        <v>418.04464394707878</v>
      </c>
      <c r="H10" s="9">
        <f>('Date Sheet IG '!H12)*(1+' IntrudaGuard'!$M$2)</f>
        <v>475.70597414667583</v>
      </c>
      <c r="I10" s="9">
        <f>('Date Sheet IG '!I12)*(1+' IntrudaGuard'!$M$2)</f>
        <v>533.36730434627293</v>
      </c>
      <c r="J10" s="9">
        <f>('Date Sheet IG '!J12)*(1+' IntrudaGuard'!$M$2)</f>
        <v>591.02863454586998</v>
      </c>
      <c r="K10" s="9">
        <f>('Date Sheet IG '!K12)*(1+' IntrudaGuard'!$M$2)</f>
        <v>663.10529729536631</v>
      </c>
      <c r="L10" s="9">
        <f>('Date Sheet IG '!L12)*(1+' IntrudaGuard'!$M$2)</f>
        <v>706.35129494506407</v>
      </c>
      <c r="M10" s="9">
        <f>('Date Sheet IG '!M12)*(1+' IntrudaGuard'!$M$2)</f>
        <v>778.42795769456052</v>
      </c>
      <c r="N10" s="9">
        <f>('Date Sheet IG '!N12)*(1+' IntrudaGuard'!$M$2)</f>
        <v>821.67395534425827</v>
      </c>
      <c r="O10" s="9">
        <f>('Date Sheet IG '!O12)*(1+' IntrudaGuard'!$M$2)</f>
        <v>879.33528554385521</v>
      </c>
      <c r="P10" s="9">
        <f>('Date Sheet IG '!P12)*(1+' IntrudaGuard'!$M$2)</f>
        <v>936.99661574345237</v>
      </c>
      <c r="Q10" s="80">
        <f>('Date Sheet IG '!Q12)*(1+' IntrudaGuard'!$M$2)</f>
        <v>994.65794594304953</v>
      </c>
      <c r="R10" s="10">
        <f>('Date Sheet IG '!R12)*(1+' IntrudaGuard'!$M$2)</f>
        <v>1052.3192761426465</v>
      </c>
    </row>
    <row r="11" spans="1:18" x14ac:dyDescent="0.35">
      <c r="B11" s="81">
        <v>1350</v>
      </c>
      <c r="C11" s="8">
        <f>('Date Sheet IG '!C13)*(1+' IntrudaGuard'!$M$2)</f>
        <v>201.81465569858975</v>
      </c>
      <c r="D11" s="9">
        <f>('Date Sheet IG '!D13)*(1+' IntrudaGuard'!$M$2)</f>
        <v>273.89131844808611</v>
      </c>
      <c r="E11" s="9">
        <f>('Date Sheet IG '!E13)*(1+' IntrudaGuard'!$M$2)</f>
        <v>331.55264864768316</v>
      </c>
      <c r="F11" s="9">
        <f>('Date Sheet IG '!F13)*(1+' IntrudaGuard'!$M$2)</f>
        <v>389.21397884728026</v>
      </c>
      <c r="G11" s="9">
        <f>('Date Sheet IG '!G13)*(1+' IntrudaGuard'!$M$2)</f>
        <v>461.29064159677648</v>
      </c>
      <c r="H11" s="9">
        <f>('Date Sheet IG '!H13)*(1+' IntrudaGuard'!$M$2)</f>
        <v>518.95197179637364</v>
      </c>
      <c r="I11" s="9">
        <f>('Date Sheet IG '!I13)*(1+' IntrudaGuard'!$M$2)</f>
        <v>591.02863454586998</v>
      </c>
      <c r="J11" s="9">
        <f>('Date Sheet IG '!J13)*(1+' IntrudaGuard'!$M$2)</f>
        <v>663.10529729536631</v>
      </c>
      <c r="K11" s="9">
        <f>('Date Sheet IG '!K13)*(1+' IntrudaGuard'!$M$2)</f>
        <v>720.76662749496347</v>
      </c>
      <c r="L11" s="9">
        <f>('Date Sheet IG '!L13)*(1+' IntrudaGuard'!$M$2)</f>
        <v>792.84329024445969</v>
      </c>
      <c r="M11" s="9">
        <f>('Date Sheet IG '!M13)*(1+' IntrudaGuard'!$M$2)</f>
        <v>850.50462044405674</v>
      </c>
      <c r="N11" s="9">
        <f>('Date Sheet IG '!N13)*(1+' IntrudaGuard'!$M$2)</f>
        <v>922.58128319355296</v>
      </c>
      <c r="O11" s="9">
        <f>('Date Sheet IG '!O13)*(1+' IntrudaGuard'!$M$2)</f>
        <v>980.24261339315024</v>
      </c>
      <c r="P11" s="9">
        <f>('Date Sheet IG '!P13)*(1+' IntrudaGuard'!$M$2)</f>
        <v>1052.3192761426465</v>
      </c>
      <c r="Q11" s="80">
        <f>('Date Sheet IG '!Q13)*(1+' IntrudaGuard'!$M$2)</f>
        <v>1109.9806063422438</v>
      </c>
      <c r="R11" s="10">
        <f>('Date Sheet IG '!R13)*(1+' IntrudaGuard'!$M$2)</f>
        <v>1167.6419365418406</v>
      </c>
    </row>
    <row r="12" spans="1:18" x14ac:dyDescent="0.35">
      <c r="B12" s="81">
        <v>1500</v>
      </c>
      <c r="C12" s="8">
        <f>('Date Sheet IG '!C14)*(1+' IntrudaGuard'!$M$2)</f>
        <v>216.22998824848895</v>
      </c>
      <c r="D12" s="9">
        <f>('Date Sheet IG '!D14)*(1+' IntrudaGuard'!$M$2)</f>
        <v>288.30665099798529</v>
      </c>
      <c r="E12" s="9">
        <f>('Date Sheet IG '!E14)*(1+' IntrudaGuard'!$M$2)</f>
        <v>360.38331374748174</v>
      </c>
      <c r="F12" s="9">
        <f>('Date Sheet IG '!F14)*(1+' IntrudaGuard'!$M$2)</f>
        <v>403.62931139717949</v>
      </c>
      <c r="G12" s="9">
        <f>('Date Sheet IG '!G14)*(1+' IntrudaGuard'!$M$2)</f>
        <v>504.53663924647424</v>
      </c>
      <c r="H12" s="9">
        <f>('Date Sheet IG '!H14)*(1+' IntrudaGuard'!$M$2)</f>
        <v>576.61330199597057</v>
      </c>
      <c r="I12" s="9">
        <f>('Date Sheet IG '!I14)*(1+' IntrudaGuard'!$M$2)</f>
        <v>648.68996474546691</v>
      </c>
      <c r="J12" s="9">
        <f>('Date Sheet IG '!J14)*(1+' IntrudaGuard'!$M$2)</f>
        <v>720.76662749496347</v>
      </c>
      <c r="K12" s="9">
        <f>('Date Sheet IG '!K14)*(1+' IntrudaGuard'!$M$2)</f>
        <v>792.84329024445969</v>
      </c>
      <c r="L12" s="9">
        <f>('Date Sheet IG '!L14)*(1+' IntrudaGuard'!$M$2)</f>
        <v>864.9199529939558</v>
      </c>
      <c r="M12" s="9">
        <f>('Date Sheet IG '!M14)*(1+' IntrudaGuard'!$M$2)</f>
        <v>936.99661574345237</v>
      </c>
      <c r="N12" s="9">
        <f>('Date Sheet IG '!N14)*(1+' IntrudaGuard'!$M$2)</f>
        <v>1009.0732784929485</v>
      </c>
      <c r="O12" s="9">
        <f>('Date Sheet IG '!O14)*(1+' IntrudaGuard'!$M$2)</f>
        <v>1081.149941242445</v>
      </c>
      <c r="P12" s="9">
        <f>('Date Sheet IG '!P14)*(1+' IntrudaGuard'!$M$2)</f>
        <v>1153.2266039919411</v>
      </c>
      <c r="Q12" s="80">
        <f>('Date Sheet IG '!Q14)*(1+' IntrudaGuard'!$M$2)</f>
        <v>1225.3032667414377</v>
      </c>
      <c r="R12" s="10">
        <f>('Date Sheet IG '!R14)*(1+' IntrudaGuard'!$M$2)</f>
        <v>1297.3799294909338</v>
      </c>
    </row>
    <row r="13" spans="1:18" x14ac:dyDescent="0.35">
      <c r="B13" s="81">
        <v>1650</v>
      </c>
      <c r="C13" s="8">
        <f>('Date Sheet IG '!C15)*(1+' IntrudaGuard'!$M$2)</f>
        <v>230.64532079838824</v>
      </c>
      <c r="D13" s="9">
        <f>('Date Sheet IG '!D15)*(1+' IntrudaGuard'!$M$2)</f>
        <v>302.72198354788458</v>
      </c>
      <c r="E13" s="9">
        <f>('Date Sheet IG '!E15)*(1+' IntrudaGuard'!$M$2)</f>
        <v>389.21397884728026</v>
      </c>
      <c r="F13" s="9">
        <f>('Date Sheet IG '!F15)*(1+' IntrudaGuard'!$M$2)</f>
        <v>461.29064159677648</v>
      </c>
      <c r="G13" s="9">
        <f>('Date Sheet IG '!G15)*(1+' IntrudaGuard'!$M$2)</f>
        <v>547.78263689617222</v>
      </c>
      <c r="H13" s="9">
        <f>('Date Sheet IG '!H15)*(1+' IntrudaGuard'!$M$2)</f>
        <v>619.85929964566856</v>
      </c>
      <c r="I13" s="9">
        <f>('Date Sheet IG '!I15)*(1+' IntrudaGuard'!$M$2)</f>
        <v>706.35129494506407</v>
      </c>
      <c r="J13" s="9">
        <f>('Date Sheet IG '!J15)*(1+' IntrudaGuard'!$M$2)</f>
        <v>792.84329024445969</v>
      </c>
      <c r="K13" s="9">
        <f>('Date Sheet IG '!K15)*(1+' IntrudaGuard'!$M$2)</f>
        <v>864.9199529939558</v>
      </c>
      <c r="L13" s="9">
        <f>('Date Sheet IG '!L15)*(1+' IntrudaGuard'!$M$2)</f>
        <v>951.41194829335166</v>
      </c>
      <c r="M13" s="9">
        <f>('Date Sheet IG '!M15)*(1+' IntrudaGuard'!$M$2)</f>
        <v>1023.4886110428479</v>
      </c>
      <c r="N13" s="9">
        <f>('Date Sheet IG '!N15)*(1+' IntrudaGuard'!$M$2)</f>
        <v>1095.5652737923444</v>
      </c>
      <c r="O13" s="9">
        <f>('Date Sheet IG '!O15)*(1+' IntrudaGuard'!$M$2)</f>
        <v>1182.05726909174</v>
      </c>
      <c r="P13" s="9">
        <f>('Date Sheet IG '!P15)*(1+' IntrudaGuard'!$M$2)</f>
        <v>1254.1339318412363</v>
      </c>
      <c r="Q13" s="80">
        <f>('Date Sheet IG '!Q15)*(1+' IntrudaGuard'!$M$2)</f>
        <v>1340.6259271406318</v>
      </c>
      <c r="R13" s="10">
        <f>('Date Sheet IG '!R15)*(1+' IntrudaGuard'!$M$2)</f>
        <v>1412.7025898901281</v>
      </c>
    </row>
    <row r="14" spans="1:18" x14ac:dyDescent="0.35">
      <c r="B14" s="81">
        <v>1800</v>
      </c>
      <c r="C14" s="8">
        <f>('Date Sheet IG '!C16)*(1+' IntrudaGuard'!$M$2)</f>
        <v>245.06065334828756</v>
      </c>
      <c r="D14" s="9">
        <f>('Date Sheet IG '!D16)*(1+' IntrudaGuard'!$M$2)</f>
        <v>331.55264864768316</v>
      </c>
      <c r="E14" s="9">
        <f>('Date Sheet IG '!E16)*(1+' IntrudaGuard'!$M$2)</f>
        <v>418.04464394707878</v>
      </c>
      <c r="F14" s="9">
        <f>('Date Sheet IG '!F16)*(1+' IntrudaGuard'!$M$2)</f>
        <v>504.53663924647424</v>
      </c>
      <c r="G14" s="9">
        <f>('Date Sheet IG '!G16)*(1+' IntrudaGuard'!$M$2)</f>
        <v>591.02863454586998</v>
      </c>
      <c r="H14" s="9">
        <f>('Date Sheet IG '!H16)*(1+' IntrudaGuard'!$M$2)</f>
        <v>677.52062984526549</v>
      </c>
      <c r="I14" s="9">
        <f>('Date Sheet IG '!I16)*(1+' IntrudaGuard'!$M$2)</f>
        <v>764.01262514466134</v>
      </c>
      <c r="J14" s="9">
        <f>('Date Sheet IG '!J16)*(1+' IntrudaGuard'!$M$2)</f>
        <v>850.50462044405674</v>
      </c>
      <c r="K14" s="9">
        <f>('Date Sheet IG '!K16)*(1+' IntrudaGuard'!$M$2)</f>
        <v>936.99661574345237</v>
      </c>
      <c r="L14" s="9">
        <f>('Date Sheet IG '!L16)*(1+' IntrudaGuard'!$M$2)</f>
        <v>1023.4886110428479</v>
      </c>
      <c r="M14" s="9">
        <f>('Date Sheet IG '!M16)*(1+' IntrudaGuard'!$M$2)</f>
        <v>1109.9806063422438</v>
      </c>
      <c r="N14" s="9">
        <f>('Date Sheet IG '!N16)*(1+' IntrudaGuard'!$M$2)</f>
        <v>1196.4726016416391</v>
      </c>
      <c r="O14" s="9">
        <f>('Date Sheet IG '!O16)*(1+' IntrudaGuard'!$M$2)</f>
        <v>1282.9645969410346</v>
      </c>
      <c r="P14" s="9">
        <f>('Date Sheet IG '!P16)*(1+' IntrudaGuard'!$M$2)</f>
        <v>1369.4565922404304</v>
      </c>
      <c r="Q14" s="80">
        <f>('Date Sheet IG '!Q16)*(1+' IntrudaGuard'!$M$2)</f>
        <v>1441.5332549899269</v>
      </c>
      <c r="R14" s="10">
        <f>('Date Sheet IG '!R16)*(1+' IntrudaGuard'!$M$2)</f>
        <v>1528.0252502893227</v>
      </c>
    </row>
    <row r="15" spans="1:18" x14ac:dyDescent="0.35">
      <c r="B15" s="81">
        <v>1950</v>
      </c>
      <c r="C15" s="8">
        <f>('Date Sheet IG '!C17)*(1+' IntrudaGuard'!$M$2)</f>
        <v>259.47598589818682</v>
      </c>
      <c r="D15" s="9">
        <f>('Date Sheet IG '!D17)*(1+' IntrudaGuard'!$M$2)</f>
        <v>345.9679811975825</v>
      </c>
      <c r="E15" s="9">
        <f>('Date Sheet IG '!E17)*(1+' IntrudaGuard'!$M$2)</f>
        <v>446.87530904687731</v>
      </c>
      <c r="F15" s="9">
        <f>('Date Sheet IG '!F17)*(1+' IntrudaGuard'!$M$2)</f>
        <v>533.36730434627293</v>
      </c>
      <c r="G15" s="9">
        <f>('Date Sheet IG '!G17)*(1+' IntrudaGuard'!$M$2)</f>
        <v>648.68996474546691</v>
      </c>
      <c r="H15" s="9">
        <f>('Date Sheet IG '!H17)*(1+' IntrudaGuard'!$M$2)</f>
        <v>720.76662749496347</v>
      </c>
      <c r="I15" s="9">
        <f>('Date Sheet IG '!I17)*(1+' IntrudaGuard'!$M$2)</f>
        <v>807.25862279435898</v>
      </c>
      <c r="J15" s="9">
        <f>('Date Sheet IG '!J17)*(1+' IntrudaGuard'!$M$2)</f>
        <v>922.58128319355296</v>
      </c>
      <c r="K15" s="9">
        <f>('Date Sheet IG '!K17)*(1+' IntrudaGuard'!$M$2)</f>
        <v>1009.0732784929485</v>
      </c>
      <c r="L15" s="9">
        <f>('Date Sheet IG '!L17)*(1+' IntrudaGuard'!$M$2)</f>
        <v>1095.5652737923444</v>
      </c>
      <c r="M15" s="9">
        <f>('Date Sheet IG '!M17)*(1+' IntrudaGuard'!$M$2)</f>
        <v>1196.4726016416391</v>
      </c>
      <c r="N15" s="9">
        <f>('Date Sheet IG '!N17)*(1+' IntrudaGuard'!$M$2)</f>
        <v>1282.9645969410346</v>
      </c>
      <c r="O15" s="9">
        <f>('Date Sheet IG '!O17)*(1+' IntrudaGuard'!$M$2)</f>
        <v>1383.87192479033</v>
      </c>
      <c r="P15" s="9">
        <f>('Date Sheet IG '!P17)*(1+' IntrudaGuard'!$M$2)</f>
        <v>1470.3639200897255</v>
      </c>
      <c r="Q15" s="80">
        <f>('Date Sheet IG '!Q17)*(1+' IntrudaGuard'!$M$2)</f>
        <v>1556.855915389121</v>
      </c>
      <c r="R15" s="10">
        <f>('Date Sheet IG '!R17)*(1+' IntrudaGuard'!$M$2)</f>
        <v>1657.7632432384157</v>
      </c>
    </row>
    <row r="16" spans="1:18" x14ac:dyDescent="0.35">
      <c r="B16" s="81">
        <v>2100</v>
      </c>
      <c r="C16" s="8">
        <f>('Date Sheet IG '!C18)*(1+' IntrudaGuard'!$M$2)</f>
        <v>273.89131844808611</v>
      </c>
      <c r="D16" s="9">
        <f>('Date Sheet IG '!D18)*(1+' IntrudaGuard'!$M$2)</f>
        <v>374.79864629738097</v>
      </c>
      <c r="E16" s="9">
        <f>('Date Sheet IG '!E18)*(1+' IntrudaGuard'!$M$2)</f>
        <v>475.70597414667583</v>
      </c>
      <c r="F16" s="9">
        <f>('Date Sheet IG '!F18)*(1+' IntrudaGuard'!$M$2)</f>
        <v>576.61330199597057</v>
      </c>
      <c r="G16" s="9">
        <f>('Date Sheet IG '!G18)*(1+' IntrudaGuard'!$M$2)</f>
        <v>677.52062984526549</v>
      </c>
      <c r="H16" s="9">
        <f>('Date Sheet IG '!H18)*(1+' IntrudaGuard'!$M$2)</f>
        <v>764.01262514466134</v>
      </c>
      <c r="I16" s="9">
        <f>('Date Sheet IG '!I18)*(1+' IntrudaGuard'!$M$2)</f>
        <v>864.9199529939558</v>
      </c>
      <c r="J16" s="9">
        <f>('Date Sheet IG '!J18)*(1+' IntrudaGuard'!$M$2)</f>
        <v>994.65794594304953</v>
      </c>
      <c r="K16" s="9">
        <f>('Date Sheet IG '!K18)*(1+' IntrudaGuard'!$M$2)</f>
        <v>1081.149941242445</v>
      </c>
      <c r="L16" s="9">
        <f>('Date Sheet IG '!L18)*(1+' IntrudaGuard'!$M$2)</f>
        <v>1182.05726909174</v>
      </c>
      <c r="M16" s="9">
        <f>('Date Sheet IG '!M18)*(1+' IntrudaGuard'!$M$2)</f>
        <v>1282.9645969410346</v>
      </c>
      <c r="N16" s="9">
        <f>('Date Sheet IG '!N18)*(1+' IntrudaGuard'!$M$2)</f>
        <v>1383.87192479033</v>
      </c>
      <c r="O16" s="9">
        <f>('Date Sheet IG '!O18)*(1+' IntrudaGuard'!$M$2)</f>
        <v>1470.3639200897255</v>
      </c>
      <c r="P16" s="9">
        <f>('Date Sheet IG '!P18)*(1+' IntrudaGuard'!$M$2)</f>
        <v>1571.2712479390202</v>
      </c>
      <c r="Q16" s="80">
        <f>('Date Sheet IG '!Q18)*(1+' IntrudaGuard'!$M$2)</f>
        <v>1672.1785757883151</v>
      </c>
      <c r="R16" s="10">
        <f>('Date Sheet IG '!R18)*(1+' IntrudaGuard'!$M$2)</f>
        <v>1773.0859036376098</v>
      </c>
    </row>
    <row r="17" spans="1:18" x14ac:dyDescent="0.35">
      <c r="B17" s="81">
        <v>2250</v>
      </c>
      <c r="C17" s="8">
        <f>('Date Sheet IG '!C19)*(1+' IntrudaGuard'!$M$2)</f>
        <v>288.30665099798529</v>
      </c>
      <c r="D17" s="9">
        <f>('Date Sheet IG '!D19)*(1+' IntrudaGuard'!$M$2)</f>
        <v>403.62931139717949</v>
      </c>
      <c r="E17" s="9">
        <f>('Date Sheet IG '!E19)*(1+' IntrudaGuard'!$M$2)</f>
        <v>504.53663924647424</v>
      </c>
      <c r="F17" s="9">
        <f>('Date Sheet IG '!F19)*(1+' IntrudaGuard'!$M$2)</f>
        <v>605.44396709576915</v>
      </c>
      <c r="G17" s="9">
        <f>('Date Sheet IG '!G19)*(1+' IntrudaGuard'!$M$2)</f>
        <v>706.35129494506407</v>
      </c>
      <c r="H17" s="9">
        <f>('Date Sheet IG '!H19)*(1+' IntrudaGuard'!$M$2)</f>
        <v>821.67395534425827</v>
      </c>
      <c r="I17" s="9">
        <f>('Date Sheet IG '!I19)*(1+' IntrudaGuard'!$M$2)</f>
        <v>922.58128319355296</v>
      </c>
      <c r="J17" s="9">
        <f>('Date Sheet IG '!J19)*(1+' IntrudaGuard'!$M$2)</f>
        <v>1052.3192761426465</v>
      </c>
      <c r="K17" s="9">
        <f>('Date Sheet IG '!K19)*(1+' IntrudaGuard'!$M$2)</f>
        <v>1153.2266039919411</v>
      </c>
      <c r="L17" s="9">
        <f>('Date Sheet IG '!L19)*(1+' IntrudaGuard'!$M$2)</f>
        <v>1254.1339318412363</v>
      </c>
      <c r="M17" s="9">
        <f>('Date Sheet IG '!M19)*(1+' IntrudaGuard'!$M$2)</f>
        <v>1369.4565922404304</v>
      </c>
      <c r="N17" s="9">
        <f>('Date Sheet IG '!N19)*(1+' IntrudaGuard'!$M$2)</f>
        <v>1470.3639200897255</v>
      </c>
      <c r="O17" s="9">
        <f>('Date Sheet IG '!O19)*(1+' IntrudaGuard'!$M$2)</f>
        <v>1571.2712479390202</v>
      </c>
      <c r="P17" s="9">
        <f>('Date Sheet IG '!P19)*(1+' IntrudaGuard'!$M$2)</f>
        <v>1686.5939083382143</v>
      </c>
      <c r="Q17" s="80">
        <f>('Date Sheet IG '!Q19)*(1+' IntrudaGuard'!$M$2)</f>
        <v>1787.5012361875092</v>
      </c>
      <c r="R17" s="10">
        <f>('Date Sheet IG '!R19)*(1+' IntrudaGuard'!$M$2)</f>
        <v>1902.8238965867033</v>
      </c>
    </row>
    <row r="18" spans="1:18" x14ac:dyDescent="0.35">
      <c r="B18" s="81">
        <v>2400</v>
      </c>
      <c r="C18" s="8">
        <f>('Date Sheet IG '!C20)*(1+' IntrudaGuard'!$M$2)</f>
        <v>302.72198354788458</v>
      </c>
      <c r="D18" s="9">
        <f>('Date Sheet IG '!D20)*(1+' IntrudaGuard'!$M$2)</f>
        <v>418.04464394707878</v>
      </c>
      <c r="E18" s="9">
        <f>('Date Sheet IG '!E20)*(1+' IntrudaGuard'!$M$2)</f>
        <v>533.36730434627293</v>
      </c>
      <c r="F18" s="9">
        <f>('Date Sheet IG '!F20)*(1+' IntrudaGuard'!$M$2)</f>
        <v>648.68996474546691</v>
      </c>
      <c r="G18" s="9">
        <f>('Date Sheet IG '!G20)*(1+' IntrudaGuard'!$M$2)</f>
        <v>764.01262514466134</v>
      </c>
      <c r="H18" s="9">
        <f>('Date Sheet IG '!H20)*(1+' IntrudaGuard'!$M$2)</f>
        <v>864.9199529939558</v>
      </c>
      <c r="I18" s="9">
        <f>('Date Sheet IG '!I20)*(1+' IntrudaGuard'!$M$2)</f>
        <v>980.24261339315024</v>
      </c>
      <c r="J18" s="9">
        <f>('Date Sheet IG '!J20)*(1+' IntrudaGuard'!$M$2)</f>
        <v>1109.9806063422438</v>
      </c>
      <c r="K18" s="9">
        <f>('Date Sheet IG '!K20)*(1+' IntrudaGuard'!$M$2)</f>
        <v>1225.3032667414377</v>
      </c>
      <c r="L18" s="9">
        <f>('Date Sheet IG '!L20)*(1+' IntrudaGuard'!$M$2)</f>
        <v>1340.6259271406318</v>
      </c>
      <c r="M18" s="9">
        <f>('Date Sheet IG '!M20)*(1+' IntrudaGuard'!$M$2)</f>
        <v>1441.5332549899269</v>
      </c>
      <c r="N18" s="9">
        <f>('Date Sheet IG '!N20)*(1+' IntrudaGuard'!$M$2)</f>
        <v>1556.855915389121</v>
      </c>
      <c r="O18" s="9">
        <f>('Date Sheet IG '!O20)*(1+' IntrudaGuard'!$M$2)</f>
        <v>1672.1785757883151</v>
      </c>
      <c r="P18" s="9">
        <f>('Date Sheet IG '!P20)*(1+' IntrudaGuard'!$M$2)</f>
        <v>1787.5012361875092</v>
      </c>
      <c r="Q18" s="80">
        <f>('Date Sheet IG '!Q20)*(1+' IntrudaGuard'!$M$2)</f>
        <v>1902.8238965867033</v>
      </c>
      <c r="R18" s="10">
        <f>('Date Sheet IG '!R20)*(1+' IntrudaGuard'!$M$2)</f>
        <v>2018.146556985897</v>
      </c>
    </row>
    <row r="19" spans="1:18" ht="15" thickBot="1" x14ac:dyDescent="0.4">
      <c r="B19" s="79">
        <v>2550</v>
      </c>
      <c r="C19" s="11">
        <f>('Date Sheet IG '!C21)*(1+' IntrudaGuard'!$M$2)</f>
        <v>317.13731609778392</v>
      </c>
      <c r="D19" s="12">
        <f>('Date Sheet IG '!D21)*(1+' IntrudaGuard'!$M$2)</f>
        <v>432.4599764969779</v>
      </c>
      <c r="E19" s="12">
        <f>('Date Sheet IG '!E21)*(1+' IntrudaGuard'!$M$2)</f>
        <v>562.19796944607128</v>
      </c>
      <c r="F19" s="12">
        <f>('Date Sheet IG '!F21)*(1+' IntrudaGuard'!$M$2)</f>
        <v>677.52062984526549</v>
      </c>
      <c r="G19" s="12">
        <f>('Date Sheet IG '!G21)*(1+' IntrudaGuard'!$M$2)</f>
        <v>792.84329024445969</v>
      </c>
      <c r="H19" s="12">
        <f>('Date Sheet IG '!H21)*(1+' IntrudaGuard'!$M$2)</f>
        <v>922.58128319355296</v>
      </c>
      <c r="I19" s="12">
        <f>('Date Sheet IG '!I21)*(1+' IntrudaGuard'!$M$2)</f>
        <v>1037.9039435927473</v>
      </c>
      <c r="J19" s="12">
        <f>('Date Sheet IG '!J21)*(1+' IntrudaGuard'!$M$2)</f>
        <v>1167.6419365418406</v>
      </c>
      <c r="K19" s="12">
        <f>('Date Sheet IG '!K21)*(1+' IntrudaGuard'!$M$2)</f>
        <v>1297.3799294909338</v>
      </c>
      <c r="L19" s="12">
        <f>('Date Sheet IG '!L21)*(1+' IntrudaGuard'!$M$2)</f>
        <v>1412.7025898901281</v>
      </c>
      <c r="M19" s="12">
        <f>('Date Sheet IG '!M21)*(1+' IntrudaGuard'!$M$2)</f>
        <v>1528.0252502893227</v>
      </c>
      <c r="N19" s="12">
        <f>('Date Sheet IG '!N21)*(1+' IntrudaGuard'!$M$2)</f>
        <v>1657.7632432384157</v>
      </c>
      <c r="O19" s="12">
        <f>('Date Sheet IG '!O21)*(1+' IntrudaGuard'!$M$2)</f>
        <v>1773.0859036376098</v>
      </c>
      <c r="P19" s="12">
        <f>('Date Sheet IG '!P21)*(1+' IntrudaGuard'!$M$2)</f>
        <v>1902.8238965867033</v>
      </c>
      <c r="Q19" s="12">
        <f>('Date Sheet IG '!Q21)*(1+' IntrudaGuard'!$M$2)</f>
        <v>2018.146556985897</v>
      </c>
      <c r="R19" s="13">
        <f>('Date Sheet IG '!R21)*(1+' IntrudaGuard'!$M$2)</f>
        <v>2133.4692173850917</v>
      </c>
    </row>
    <row r="20" spans="1:18" ht="15" thickTop="1" x14ac:dyDescent="0.35"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ht="15" thickBot="1" x14ac:dyDescent="0.4">
      <c r="G21" s="3"/>
      <c r="H21" s="106"/>
      <c r="I21" s="107"/>
      <c r="K21" s="66"/>
      <c r="L21" s="65" t="s">
        <v>64</v>
      </c>
      <c r="M21" s="64">
        <v>5.5E-2</v>
      </c>
    </row>
    <row r="22" spans="1:18" ht="24" thickTop="1" x14ac:dyDescent="0.55000000000000004">
      <c r="C22" s="108" t="s">
        <v>67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</row>
    <row r="23" spans="1:18" ht="15" thickBot="1" x14ac:dyDescent="0.4">
      <c r="C23" s="78">
        <v>825</v>
      </c>
      <c r="D23" s="77">
        <v>875</v>
      </c>
      <c r="E23" s="77">
        <v>925</v>
      </c>
      <c r="F23" s="77">
        <v>975</v>
      </c>
      <c r="G23" s="77">
        <v>1025</v>
      </c>
      <c r="H23" s="77">
        <v>1075</v>
      </c>
      <c r="I23" s="77">
        <v>1125</v>
      </c>
      <c r="J23" s="77">
        <v>1175</v>
      </c>
      <c r="K23" s="77">
        <v>1225</v>
      </c>
      <c r="L23" s="77">
        <v>1275</v>
      </c>
      <c r="M23" s="77">
        <v>1325</v>
      </c>
      <c r="N23" s="77">
        <v>1375</v>
      </c>
      <c r="O23" s="77">
        <v>1425</v>
      </c>
      <c r="P23" s="76">
        <v>1500</v>
      </c>
    </row>
    <row r="24" spans="1:18" ht="15" thickTop="1" x14ac:dyDescent="0.35">
      <c r="B24" s="75">
        <v>2100</v>
      </c>
      <c r="C24" s="5">
        <f>('Date Sheet IG '!C25)*(1+' IntrudaGuard'!$M$21)</f>
        <v>968.97337346537347</v>
      </c>
      <c r="D24" s="23">
        <f>('Date Sheet IG '!D25)*(1+' IntrudaGuard'!$M$21)</f>
        <v>983.34374129219032</v>
      </c>
      <c r="E24" s="23">
        <f>('Date Sheet IG '!E25)*(1+' IntrudaGuard'!$M$21)</f>
        <v>997.71410911900728</v>
      </c>
      <c r="F24" s="23">
        <f>('Date Sheet IG '!F25)*(1+' IntrudaGuard'!$M$21)</f>
        <v>1012.0844769458245</v>
      </c>
      <c r="G24" s="23">
        <f>('Date Sheet IG '!G25)*(1+' IntrudaGuard'!$M$21)</f>
        <v>1040.8252125994582</v>
      </c>
      <c r="H24" s="23">
        <f>('Date Sheet IG '!H25)*(1+' IntrudaGuard'!$M$21)</f>
        <v>1069.5659482530923</v>
      </c>
      <c r="I24" s="23">
        <f>('Date Sheet IG '!I25)*(1+' IntrudaGuard'!$M$21)</f>
        <v>1098.306683906726</v>
      </c>
      <c r="J24" s="23">
        <f>('Date Sheet IG '!J25)*(1+' IntrudaGuard'!$M$21)</f>
        <v>1127.0474195603601</v>
      </c>
      <c r="K24" s="23">
        <f>('Date Sheet IG '!K25)*(1+' IntrudaGuard'!$M$21)</f>
        <v>1184.528890867628</v>
      </c>
      <c r="L24" s="23">
        <f>('Date Sheet IG '!L25)*(1+' IntrudaGuard'!$M$21)</f>
        <v>1198.8992586944453</v>
      </c>
      <c r="M24" s="23">
        <f>('Date Sheet IG '!M25)*(1+' IntrudaGuard'!$M$21)</f>
        <v>1227.639994348079</v>
      </c>
      <c r="N24" s="23">
        <f>('Date Sheet IG '!N25)*(1+' IntrudaGuard'!$M$21)</f>
        <v>1256.3807300017129</v>
      </c>
      <c r="O24" s="23">
        <f>('Date Sheet IG '!O25)*(1+' IntrudaGuard'!$M$21)</f>
        <v>1285.121465655347</v>
      </c>
      <c r="P24" s="7">
        <f>('Date Sheet IG '!P25)*(1+' IntrudaGuard'!$M$21)</f>
        <v>1385.7140404430656</v>
      </c>
    </row>
    <row r="25" spans="1:18" x14ac:dyDescent="0.35">
      <c r="B25" s="74">
        <v>2200</v>
      </c>
      <c r="C25" s="24">
        <f>('Date Sheet IG '!C26)*(1+' IntrudaGuard'!$M$21)</f>
        <v>997.71410911900728</v>
      </c>
      <c r="D25" s="9">
        <f>('Date Sheet IG '!D26)*(1+' IntrudaGuard'!$M$21)</f>
        <v>968.97337346537347</v>
      </c>
      <c r="E25" s="9">
        <f>('Date Sheet IG '!E26)*(1+' IntrudaGuard'!$M$21)</f>
        <v>1026.4548447726411</v>
      </c>
      <c r="F25" s="9">
        <f>('Date Sheet IG '!F26)*(1+' IntrudaGuard'!$M$21)</f>
        <v>1040.8252125994582</v>
      </c>
      <c r="G25" s="9">
        <f>('Date Sheet IG '!G26)*(1+' IntrudaGuard'!$M$21)</f>
        <v>1069.5659482530923</v>
      </c>
      <c r="H25" s="9">
        <f>('Date Sheet IG '!H26)*(1+' IntrudaGuard'!$M$21)</f>
        <v>1098.306683906726</v>
      </c>
      <c r="I25" s="9">
        <f>('Date Sheet IG '!I26)*(1+' IntrudaGuard'!$M$21)</f>
        <v>1127.0474195603601</v>
      </c>
      <c r="J25" s="9">
        <f>('Date Sheet IG '!J26)*(1+' IntrudaGuard'!$M$21)</f>
        <v>1155.7881552139938</v>
      </c>
      <c r="K25" s="9">
        <f>('Date Sheet IG '!K26)*(1+' IntrudaGuard'!$M$21)</f>
        <v>1213.2696265212619</v>
      </c>
      <c r="L25" s="9">
        <f>('Date Sheet IG '!L26)*(1+' IntrudaGuard'!$M$21)</f>
        <v>1227.639994348079</v>
      </c>
      <c r="M25" s="9">
        <f>('Date Sheet IG '!M26)*(1+' IntrudaGuard'!$M$21)</f>
        <v>1256.3807300017129</v>
      </c>
      <c r="N25" s="9">
        <f>('Date Sheet IG '!N26)*(1+' IntrudaGuard'!$M$21)</f>
        <v>1285.121465655347</v>
      </c>
      <c r="O25" s="9">
        <f>('Date Sheet IG '!O26)*(1+' IntrudaGuard'!$M$21)</f>
        <v>1313.8622013089807</v>
      </c>
      <c r="P25" s="10">
        <f>('Date Sheet IG '!P26)*(1+' IntrudaGuard'!$M$21)</f>
        <v>1443.1955117503335</v>
      </c>
    </row>
    <row r="26" spans="1:18" x14ac:dyDescent="0.35">
      <c r="B26" s="74">
        <v>2300</v>
      </c>
      <c r="C26" s="24">
        <f>('Date Sheet IG '!C27)*(1+' IntrudaGuard'!$M$21)</f>
        <v>1026.4548447726411</v>
      </c>
      <c r="D26" s="9">
        <f>('Date Sheet IG '!D27)*(1+' IntrudaGuard'!$M$21)</f>
        <v>997.71410911900728</v>
      </c>
      <c r="E26" s="9">
        <f>('Date Sheet IG '!E27)*(1+' IntrudaGuard'!$M$21)</f>
        <v>1040.8252125994582</v>
      </c>
      <c r="F26" s="9">
        <f>('Date Sheet IG '!F27)*(1+' IntrudaGuard'!$M$21)</f>
        <v>1069.5659482530923</v>
      </c>
      <c r="G26" s="9">
        <f>('Date Sheet IG '!G27)*(1+' IntrudaGuard'!$M$21)</f>
        <v>1098.306683906726</v>
      </c>
      <c r="H26" s="9">
        <f>('Date Sheet IG '!H27)*(1+' IntrudaGuard'!$M$21)</f>
        <v>1127.0474195603601</v>
      </c>
      <c r="I26" s="9">
        <f>('Date Sheet IG '!I27)*(1+' IntrudaGuard'!$M$21)</f>
        <v>1155.7881552139938</v>
      </c>
      <c r="J26" s="9">
        <f>('Date Sheet IG '!J27)*(1+' IntrudaGuard'!$M$21)</f>
        <v>1184.528890867628</v>
      </c>
      <c r="K26" s="9">
        <f>('Date Sheet IG '!K27)*(1+' IntrudaGuard'!$M$21)</f>
        <v>1184.528890867628</v>
      </c>
      <c r="L26" s="9">
        <f>('Date Sheet IG '!L27)*(1+' IntrudaGuard'!$M$21)</f>
        <v>1242.0103621748958</v>
      </c>
      <c r="M26" s="9">
        <f>('Date Sheet IG '!M27)*(1+' IntrudaGuard'!$M$21)</f>
        <v>1285.121465655347</v>
      </c>
      <c r="N26" s="9">
        <f>('Date Sheet IG '!N27)*(1+' IntrudaGuard'!$M$21)</f>
        <v>1313.8622013089807</v>
      </c>
      <c r="O26" s="9">
        <f>('Date Sheet IG '!O27)*(1+' IntrudaGuard'!$M$21)</f>
        <v>1342.6029369626146</v>
      </c>
      <c r="P26" s="10">
        <f>('Date Sheet IG '!P27)*(1+' IntrudaGuard'!$M$21)</f>
        <v>1500.6769830576011</v>
      </c>
    </row>
    <row r="27" spans="1:18" x14ac:dyDescent="0.35">
      <c r="B27" s="74">
        <v>2400</v>
      </c>
      <c r="C27" s="24">
        <f>('Date Sheet IG '!C28)*(1+' IntrudaGuard'!$M$21)</f>
        <v>1040.8252125994582</v>
      </c>
      <c r="D27" s="9">
        <f>('Date Sheet IG '!D28)*(1+' IntrudaGuard'!$M$21)</f>
        <v>1055.1955804262752</v>
      </c>
      <c r="E27" s="9">
        <f>('Date Sheet IG '!E28)*(1+' IntrudaGuard'!$M$21)</f>
        <v>1069.5659482530923</v>
      </c>
      <c r="F27" s="9">
        <f>('Date Sheet IG '!F28)*(1+' IntrudaGuard'!$M$21)</f>
        <v>1098.306683906726</v>
      </c>
      <c r="G27" s="9">
        <f>('Date Sheet IG '!G28)*(1+' IntrudaGuard'!$M$21)</f>
        <v>1127.0474195603601</v>
      </c>
      <c r="H27" s="9">
        <f>('Date Sheet IG '!H28)*(1+' IntrudaGuard'!$M$21)</f>
        <v>1155.7881552139938</v>
      </c>
      <c r="I27" s="9">
        <f>('Date Sheet IG '!I28)*(1+' IntrudaGuard'!$M$21)</f>
        <v>1184.528890867628</v>
      </c>
      <c r="J27" s="9">
        <f>('Date Sheet IG '!J28)*(1+' IntrudaGuard'!$M$21)</f>
        <v>1213.2696265212619</v>
      </c>
      <c r="K27" s="9">
        <f>('Date Sheet IG '!K28)*(1+' IntrudaGuard'!$M$21)</f>
        <v>1242.0103621748958</v>
      </c>
      <c r="L27" s="9">
        <f>('Date Sheet IG '!L28)*(1+' IntrudaGuard'!$M$21)</f>
        <v>1285.121465655347</v>
      </c>
      <c r="M27" s="9">
        <f>('Date Sheet IG '!M28)*(1+' IntrudaGuard'!$M$21)</f>
        <v>1313.8622013089807</v>
      </c>
      <c r="N27" s="9">
        <f>('Date Sheet IG '!N28)*(1+' IntrudaGuard'!$M$21)</f>
        <v>1342.6029369626146</v>
      </c>
      <c r="O27" s="9">
        <f>('Date Sheet IG '!O28)*(1+' IntrudaGuard'!$M$21)</f>
        <v>1371.3436726162486</v>
      </c>
      <c r="P27" s="10">
        <f>('Date Sheet IG '!P28)*(1+' IntrudaGuard'!$M$21)</f>
        <v>1558.1584543648696</v>
      </c>
    </row>
    <row r="28" spans="1:18" s="2" customFormat="1" x14ac:dyDescent="0.35">
      <c r="A28"/>
      <c r="B28" s="74">
        <v>2500</v>
      </c>
      <c r="C28" s="24">
        <f>('Date Sheet IG '!C29)*(1+' IntrudaGuard'!$M$21)</f>
        <v>1069.5659482530923</v>
      </c>
      <c r="D28" s="9">
        <f>('Date Sheet IG '!D29)*(1+' IntrudaGuard'!$M$21)</f>
        <v>1083.9363160799091</v>
      </c>
      <c r="E28" s="9">
        <f>('Date Sheet IG '!E29)*(1+' IntrudaGuard'!$M$21)</f>
        <v>1098.306683906726</v>
      </c>
      <c r="F28" s="9">
        <f>('Date Sheet IG '!F29)*(1+' IntrudaGuard'!$M$21)</f>
        <v>1127.0474195603601</v>
      </c>
      <c r="G28" s="9">
        <f>('Date Sheet IG '!G29)*(1+' IntrudaGuard'!$M$21)</f>
        <v>1155.7881552139938</v>
      </c>
      <c r="H28" s="9">
        <f>('Date Sheet IG '!H29)*(1+' IntrudaGuard'!$M$21)</f>
        <v>1184.528890867628</v>
      </c>
      <c r="I28" s="9">
        <f>('Date Sheet IG '!I29)*(1+' IntrudaGuard'!$M$21)</f>
        <v>1213.2696265212619</v>
      </c>
      <c r="J28" s="9">
        <f>('Date Sheet IG '!J29)*(1+' IntrudaGuard'!$M$21)</f>
        <v>1242.0103621748958</v>
      </c>
      <c r="K28" s="9">
        <f>('Date Sheet IG '!K29)*(1+' IntrudaGuard'!$M$21)</f>
        <v>1299.4918334821639</v>
      </c>
      <c r="L28" s="9">
        <f>('Date Sheet IG '!L29)*(1+' IntrudaGuard'!$M$21)</f>
        <v>1313.8622013089807</v>
      </c>
      <c r="M28" s="9">
        <f>('Date Sheet IG '!M29)*(1+' IntrudaGuard'!$M$21)</f>
        <v>1342.6029369626146</v>
      </c>
      <c r="N28" s="9">
        <f>('Date Sheet IG '!N29)*(1+' IntrudaGuard'!$M$21)</f>
        <v>1371.3436726162486</v>
      </c>
      <c r="O28" s="9">
        <f>('Date Sheet IG '!O29)*(1+' IntrudaGuard'!$M$21)</f>
        <v>1400.0844082698827</v>
      </c>
      <c r="P28" s="10">
        <f>('Date Sheet IG '!P29)*(1+' IntrudaGuard'!$M$21)</f>
        <v>1615.6399256721372</v>
      </c>
    </row>
    <row r="29" spans="1:18" s="2" customFormat="1" ht="15" thickBot="1" x14ac:dyDescent="0.4">
      <c r="A29"/>
      <c r="B29" s="73">
        <v>2600</v>
      </c>
      <c r="C29" s="11">
        <f>('Date Sheet IG '!C30)*(1+' IntrudaGuard'!$M$21)</f>
        <v>1098.306683906726</v>
      </c>
      <c r="D29" s="12">
        <f>('Date Sheet IG '!D30)*(1+' IntrudaGuard'!$M$21)</f>
        <v>1127.0474195603601</v>
      </c>
      <c r="E29" s="12">
        <f>('Date Sheet IG '!E30)*(1+' IntrudaGuard'!$M$21)</f>
        <v>1155.7881552139938</v>
      </c>
      <c r="F29" s="12">
        <f>('Date Sheet IG '!F30)*(1+' IntrudaGuard'!$M$21)</f>
        <v>1184.528890867628</v>
      </c>
      <c r="G29" s="12">
        <f>('Date Sheet IG '!G30)*(1+' IntrudaGuard'!$M$21)</f>
        <v>1213.2696265212619</v>
      </c>
      <c r="H29" s="12">
        <f>('Date Sheet IG '!H30)*(1+' IntrudaGuard'!$M$21)</f>
        <v>1242.0103621748958</v>
      </c>
      <c r="I29" s="12">
        <f>('Date Sheet IG '!I30)*(1+' IntrudaGuard'!$M$21)</f>
        <v>1270.7510978285297</v>
      </c>
      <c r="J29" s="12">
        <f>('Date Sheet IG '!J30)*(1+' IntrudaGuard'!$M$21)</f>
        <v>1328.2325691357978</v>
      </c>
      <c r="K29" s="12">
        <f>('Date Sheet IG '!K30)*(1+' IntrudaGuard'!$M$21)</f>
        <v>1342.6029369626146</v>
      </c>
      <c r="L29" s="12">
        <f>('Date Sheet IG '!L30)*(1+' IntrudaGuard'!$M$21)</f>
        <v>1371.3436726162486</v>
      </c>
      <c r="M29" s="12">
        <f>('Date Sheet IG '!M30)*(1+' IntrudaGuard'!$M$21)</f>
        <v>1400.0844082698827</v>
      </c>
      <c r="N29" s="12">
        <f>('Date Sheet IG '!N30)*(1+' IntrudaGuard'!$M$21)</f>
        <v>1428.8251439235166</v>
      </c>
      <c r="O29" s="12">
        <f>('Date Sheet IG '!O30)*(1+' IntrudaGuard'!$M$21)</f>
        <v>1457.5658795771506</v>
      </c>
      <c r="P29" s="13">
        <f>('Date Sheet IG '!P30)*(1+' IntrudaGuard'!$M$21)</f>
        <v>1673.1213969794055</v>
      </c>
    </row>
    <row r="30" spans="1:18" s="2" customFormat="1" ht="15" thickTop="1" x14ac:dyDescent="0.35">
      <c r="A30"/>
      <c r="B30" s="1"/>
    </row>
    <row r="31" spans="1:18" ht="18.5" x14ac:dyDescent="0.45">
      <c r="B31" s="113" t="s">
        <v>1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</row>
  </sheetData>
  <mergeCells count="6">
    <mergeCell ref="A1:R1"/>
    <mergeCell ref="H2:I2"/>
    <mergeCell ref="C4:R4"/>
    <mergeCell ref="C22:P22"/>
    <mergeCell ref="B31:R31"/>
    <mergeCell ref="H21:I21"/>
  </mergeCells>
  <pageMargins left="3.937007874015748E-2" right="3.937007874015748E-2" top="0.23622047244094491" bottom="0.23622047244094491" header="0.11811023622047245" footer="0.11811023622047245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81F9-F4EB-485E-8F8A-21F422A2754A}">
  <sheetPr>
    <tabColor rgb="FFFF0000"/>
    <pageSetUpPr fitToPage="1"/>
  </sheetPr>
  <dimension ref="A1:R32"/>
  <sheetViews>
    <sheetView workbookViewId="0">
      <selection activeCell="C8" sqref="C8:R21"/>
    </sheetView>
  </sheetViews>
  <sheetFormatPr defaultRowHeight="14.5" x14ac:dyDescent="0.35"/>
  <cols>
    <col min="1" max="1" width="2.90625" customWidth="1"/>
    <col min="2" max="2" width="8.1796875" style="1" customWidth="1"/>
    <col min="3" max="18" width="8.1796875" style="2" customWidth="1"/>
    <col min="19" max="19" width="8.1796875" customWidth="1"/>
  </cols>
  <sheetData>
    <row r="1" spans="1:18" ht="33.5" x14ac:dyDescent="0.75">
      <c r="A1" s="119" t="s">
        <v>71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18" ht="15" customHeight="1" x14ac:dyDescent="0.35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3" spans="1:18" ht="26" x14ac:dyDescent="0.6">
      <c r="A3" s="125" t="s">
        <v>70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4" spans="1:18" x14ac:dyDescent="0.35">
      <c r="G4" s="3"/>
      <c r="H4" s="106"/>
      <c r="I4" s="107"/>
      <c r="K4" s="66"/>
      <c r="L4" s="65"/>
      <c r="M4" s="86"/>
    </row>
    <row r="5" spans="1:18" ht="9" customHeight="1" thickBot="1" x14ac:dyDescent="0.4"/>
    <row r="6" spans="1:18" ht="24" thickTop="1" x14ac:dyDescent="0.55000000000000004">
      <c r="C6" s="122" t="s">
        <v>68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4"/>
    </row>
    <row r="7" spans="1:18" ht="15" thickBot="1" x14ac:dyDescent="0.4">
      <c r="B7" s="4"/>
      <c r="C7" s="85">
        <v>300</v>
      </c>
      <c r="D7" s="84">
        <v>450</v>
      </c>
      <c r="E7" s="84">
        <v>600</v>
      </c>
      <c r="F7" s="84">
        <v>750</v>
      </c>
      <c r="G7" s="84">
        <v>900</v>
      </c>
      <c r="H7" s="84">
        <v>1050</v>
      </c>
      <c r="I7" s="84">
        <v>1200</v>
      </c>
      <c r="J7" s="84">
        <v>1350</v>
      </c>
      <c r="K7" s="84">
        <v>1500</v>
      </c>
      <c r="L7" s="84">
        <v>1650</v>
      </c>
      <c r="M7" s="84">
        <v>1800</v>
      </c>
      <c r="N7" s="84">
        <v>1950</v>
      </c>
      <c r="O7" s="84">
        <v>2100</v>
      </c>
      <c r="P7" s="84">
        <v>2250</v>
      </c>
      <c r="Q7" s="84">
        <v>2400</v>
      </c>
      <c r="R7" s="83">
        <v>2550</v>
      </c>
    </row>
    <row r="8" spans="1:18" ht="15" thickTop="1" x14ac:dyDescent="0.35">
      <c r="B8" s="82">
        <v>600</v>
      </c>
      <c r="C8" s="5">
        <v>114.92934663515385</v>
      </c>
      <c r="D8" s="6">
        <v>140.46920144296581</v>
      </c>
      <c r="E8" s="6">
        <v>166.00905625077777</v>
      </c>
      <c r="F8" s="6">
        <v>191.54891105858968</v>
      </c>
      <c r="G8" s="6">
        <v>217.0887658664017</v>
      </c>
      <c r="H8" s="6">
        <v>242.62862067421366</v>
      </c>
      <c r="I8" s="6">
        <v>268.1684754820256</v>
      </c>
      <c r="J8" s="6">
        <v>306.47825769374361</v>
      </c>
      <c r="K8" s="6">
        <v>370.32789471327351</v>
      </c>
      <c r="L8" s="6">
        <v>357.55796730936748</v>
      </c>
      <c r="M8" s="6">
        <v>383.09782211717936</v>
      </c>
      <c r="N8" s="6">
        <v>408.63767692499135</v>
      </c>
      <c r="O8" s="6">
        <v>434.1775317328034</v>
      </c>
      <c r="P8" s="6">
        <v>459.71738654061539</v>
      </c>
      <c r="Q8" s="6">
        <v>485.25724134842733</v>
      </c>
      <c r="R8" s="7">
        <v>510.79709615623921</v>
      </c>
    </row>
    <row r="9" spans="1:18" x14ac:dyDescent="0.35">
      <c r="B9" s="81">
        <v>750</v>
      </c>
      <c r="C9" s="8">
        <v>127.6992740390598</v>
      </c>
      <c r="D9" s="9">
        <v>166.00905625077777</v>
      </c>
      <c r="E9" s="9">
        <v>191.54891105858968</v>
      </c>
      <c r="F9" s="9">
        <v>229.8586932703077</v>
      </c>
      <c r="G9" s="9">
        <v>255.3985480781196</v>
      </c>
      <c r="H9" s="9">
        <v>280.93840288593162</v>
      </c>
      <c r="I9" s="9">
        <v>319.24818509764958</v>
      </c>
      <c r="J9" s="9">
        <v>370.32789471327351</v>
      </c>
      <c r="K9" s="9">
        <v>395.86774952108544</v>
      </c>
      <c r="L9" s="9">
        <v>421.40760432889738</v>
      </c>
      <c r="M9" s="9">
        <v>459.71738654061539</v>
      </c>
      <c r="N9" s="9">
        <v>485.25724134842733</v>
      </c>
      <c r="O9" s="9">
        <v>523.56702356014523</v>
      </c>
      <c r="P9" s="9">
        <v>549.10687836795728</v>
      </c>
      <c r="Q9" s="9">
        <v>587.41666057967518</v>
      </c>
      <c r="R9" s="10">
        <v>612.95651538748723</v>
      </c>
    </row>
    <row r="10" spans="1:18" x14ac:dyDescent="0.35">
      <c r="B10" s="81">
        <v>900</v>
      </c>
      <c r="C10" s="8">
        <v>140.46920144296581</v>
      </c>
      <c r="D10" s="9">
        <v>191.54891105858968</v>
      </c>
      <c r="E10" s="9">
        <v>217.0887658664017</v>
      </c>
      <c r="F10" s="9">
        <v>255.3985480781196</v>
      </c>
      <c r="G10" s="9">
        <v>293.70833028983759</v>
      </c>
      <c r="H10" s="9">
        <v>332.01811250155555</v>
      </c>
      <c r="I10" s="9">
        <v>370.32789471327351</v>
      </c>
      <c r="J10" s="9">
        <v>421.40760432889738</v>
      </c>
      <c r="K10" s="9">
        <v>459.71738654061539</v>
      </c>
      <c r="L10" s="9">
        <v>498.02716875233318</v>
      </c>
      <c r="M10" s="9">
        <v>536.3369509640512</v>
      </c>
      <c r="N10" s="9">
        <v>574.6467331757691</v>
      </c>
      <c r="O10" s="9">
        <v>587.41666057967518</v>
      </c>
      <c r="P10" s="9">
        <v>638.49637019529916</v>
      </c>
      <c r="Q10" s="9">
        <v>689.57607981092303</v>
      </c>
      <c r="R10" s="10">
        <v>715.11593461873497</v>
      </c>
    </row>
    <row r="11" spans="1:18" x14ac:dyDescent="0.35">
      <c r="B11" s="81">
        <v>1050</v>
      </c>
      <c r="C11" s="8">
        <v>153.23912884687181</v>
      </c>
      <c r="D11" s="9">
        <v>204.31883846249568</v>
      </c>
      <c r="E11" s="9">
        <v>242.62862067421366</v>
      </c>
      <c r="F11" s="9">
        <v>280.93840288593162</v>
      </c>
      <c r="G11" s="9">
        <v>332.01811250155555</v>
      </c>
      <c r="H11" s="9">
        <v>370.32789471327351</v>
      </c>
      <c r="I11" s="9">
        <v>421.40760432889738</v>
      </c>
      <c r="J11" s="9">
        <v>472.4873139445213</v>
      </c>
      <c r="K11" s="9">
        <v>523.56702356014523</v>
      </c>
      <c r="L11" s="9">
        <v>561.87680577186325</v>
      </c>
      <c r="M11" s="9">
        <v>612.95651538748723</v>
      </c>
      <c r="N11" s="9">
        <v>651.26629759920513</v>
      </c>
      <c r="O11" s="9">
        <v>689.57607981092303</v>
      </c>
      <c r="P11" s="9">
        <v>740.65578942654702</v>
      </c>
      <c r="Q11" s="9">
        <v>778.96557163826481</v>
      </c>
      <c r="R11" s="10">
        <v>830.04528125388879</v>
      </c>
    </row>
    <row r="12" spans="1:18" x14ac:dyDescent="0.35">
      <c r="B12" s="81">
        <v>1200</v>
      </c>
      <c r="C12" s="8">
        <v>166.00905625077777</v>
      </c>
      <c r="D12" s="9">
        <v>217.0887658664017</v>
      </c>
      <c r="E12" s="9">
        <v>268.1684754820256</v>
      </c>
      <c r="F12" s="9">
        <v>319.24818509764958</v>
      </c>
      <c r="G12" s="9">
        <v>370.32789471327351</v>
      </c>
      <c r="H12" s="9">
        <v>421.40760432889738</v>
      </c>
      <c r="I12" s="9">
        <v>472.4873139445213</v>
      </c>
      <c r="J12" s="9">
        <v>523.56702356014523</v>
      </c>
      <c r="K12" s="9">
        <v>587.41666057967518</v>
      </c>
      <c r="L12" s="9">
        <v>625.72644279139308</v>
      </c>
      <c r="M12" s="9">
        <v>689.57607981092303</v>
      </c>
      <c r="N12" s="9">
        <v>727.88586202264094</v>
      </c>
      <c r="O12" s="9">
        <v>778.96557163826481</v>
      </c>
      <c r="P12" s="9">
        <v>830.04528125388879</v>
      </c>
      <c r="Q12" s="9">
        <v>881.12499086951277</v>
      </c>
      <c r="R12" s="10">
        <v>932.20470048513653</v>
      </c>
    </row>
    <row r="13" spans="1:18" x14ac:dyDescent="0.35">
      <c r="B13" s="81">
        <v>1350</v>
      </c>
      <c r="C13" s="8">
        <v>178.77898365468374</v>
      </c>
      <c r="D13" s="9">
        <v>242.62862067421366</v>
      </c>
      <c r="E13" s="9">
        <v>293.70833028983759</v>
      </c>
      <c r="F13" s="9">
        <v>344.78803990546152</v>
      </c>
      <c r="G13" s="9">
        <v>408.63767692499135</v>
      </c>
      <c r="H13" s="9">
        <v>459.71738654061539</v>
      </c>
      <c r="I13" s="9">
        <v>523.56702356014523</v>
      </c>
      <c r="J13" s="9">
        <v>587.41666057967518</v>
      </c>
      <c r="K13" s="9">
        <v>638.49637019529916</v>
      </c>
      <c r="L13" s="9">
        <v>702.346007214829</v>
      </c>
      <c r="M13" s="9">
        <v>753.42571683045287</v>
      </c>
      <c r="N13" s="9">
        <v>817.27535384998271</v>
      </c>
      <c r="O13" s="9">
        <v>868.3550634656068</v>
      </c>
      <c r="P13" s="9">
        <v>932.20470048513653</v>
      </c>
      <c r="Q13" s="9">
        <v>983.28441010076074</v>
      </c>
      <c r="R13" s="10">
        <v>1034.3641197163845</v>
      </c>
    </row>
    <row r="14" spans="1:18" x14ac:dyDescent="0.35">
      <c r="B14" s="81">
        <v>1500</v>
      </c>
      <c r="C14" s="8">
        <v>191.54891105858968</v>
      </c>
      <c r="D14" s="9">
        <v>255.3985480781196</v>
      </c>
      <c r="E14" s="9">
        <v>319.24818509764958</v>
      </c>
      <c r="F14" s="9">
        <v>357.55796730936748</v>
      </c>
      <c r="G14" s="9">
        <v>446.94745913670926</v>
      </c>
      <c r="H14" s="9">
        <v>510.79709615623921</v>
      </c>
      <c r="I14" s="9">
        <v>574.6467331757691</v>
      </c>
      <c r="J14" s="9">
        <v>638.49637019529916</v>
      </c>
      <c r="K14" s="9">
        <v>702.346007214829</v>
      </c>
      <c r="L14" s="9">
        <v>766.19564423435872</v>
      </c>
      <c r="M14" s="9">
        <v>830.04528125388879</v>
      </c>
      <c r="N14" s="9">
        <v>893.89491827341851</v>
      </c>
      <c r="O14" s="9">
        <v>957.74455529294858</v>
      </c>
      <c r="P14" s="9">
        <v>1021.5941923124784</v>
      </c>
      <c r="Q14" s="9">
        <v>1085.4438293320084</v>
      </c>
      <c r="R14" s="10">
        <v>1149.2934663515382</v>
      </c>
    </row>
    <row r="15" spans="1:18" x14ac:dyDescent="0.35">
      <c r="B15" s="81">
        <v>1650</v>
      </c>
      <c r="C15" s="8">
        <v>204.31883846249568</v>
      </c>
      <c r="D15" s="9">
        <v>268.1684754820256</v>
      </c>
      <c r="E15" s="9">
        <v>344.78803990546152</v>
      </c>
      <c r="F15" s="9">
        <v>408.63767692499135</v>
      </c>
      <c r="G15" s="9">
        <v>485.25724134842733</v>
      </c>
      <c r="H15" s="9">
        <v>549.10687836795728</v>
      </c>
      <c r="I15" s="9">
        <v>625.72644279139308</v>
      </c>
      <c r="J15" s="9">
        <v>702.346007214829</v>
      </c>
      <c r="K15" s="9">
        <v>766.19564423435872</v>
      </c>
      <c r="L15" s="9">
        <v>842.81520865779476</v>
      </c>
      <c r="M15" s="9">
        <v>906.66484567732459</v>
      </c>
      <c r="N15" s="9">
        <v>970.51448269685466</v>
      </c>
      <c r="O15" s="9">
        <v>1047.1340471202905</v>
      </c>
      <c r="P15" s="9">
        <v>1110.9836841398205</v>
      </c>
      <c r="Q15" s="9">
        <v>1187.6032485632563</v>
      </c>
      <c r="R15" s="10">
        <v>1251.4528855827862</v>
      </c>
    </row>
    <row r="16" spans="1:18" x14ac:dyDescent="0.35">
      <c r="B16" s="81">
        <v>1800</v>
      </c>
      <c r="C16" s="8">
        <v>217.0887658664017</v>
      </c>
      <c r="D16" s="9">
        <v>293.70833028983759</v>
      </c>
      <c r="E16" s="9">
        <v>370.32789471327351</v>
      </c>
      <c r="F16" s="9">
        <v>446.94745913670926</v>
      </c>
      <c r="G16" s="9">
        <v>523.56702356014523</v>
      </c>
      <c r="H16" s="9">
        <v>600.18658798358103</v>
      </c>
      <c r="I16" s="9">
        <v>676.80615240701718</v>
      </c>
      <c r="J16" s="9">
        <v>753.42571683045287</v>
      </c>
      <c r="K16" s="9">
        <v>830.04528125388879</v>
      </c>
      <c r="L16" s="9">
        <v>906.66484567732459</v>
      </c>
      <c r="M16" s="9">
        <v>983.28441010076074</v>
      </c>
      <c r="N16" s="9">
        <v>1059.9039745241964</v>
      </c>
      <c r="O16" s="9">
        <v>1136.5235389476322</v>
      </c>
      <c r="P16" s="9">
        <v>1213.1431033710683</v>
      </c>
      <c r="Q16" s="9">
        <v>1276.9927403905983</v>
      </c>
      <c r="R16" s="10">
        <v>1353.6123048140344</v>
      </c>
    </row>
    <row r="17" spans="1:18" x14ac:dyDescent="0.35">
      <c r="B17" s="81">
        <v>1950</v>
      </c>
      <c r="C17" s="8">
        <v>229.8586932703077</v>
      </c>
      <c r="D17" s="9">
        <v>306.47825769374361</v>
      </c>
      <c r="E17" s="9">
        <v>395.86774952108544</v>
      </c>
      <c r="F17" s="9">
        <v>472.4873139445213</v>
      </c>
      <c r="G17" s="9">
        <v>574.6467331757691</v>
      </c>
      <c r="H17" s="9">
        <v>638.49637019529916</v>
      </c>
      <c r="I17" s="9">
        <v>715.11593461873497</v>
      </c>
      <c r="J17" s="9">
        <v>817.27535384998271</v>
      </c>
      <c r="K17" s="9">
        <v>893.89491827341851</v>
      </c>
      <c r="L17" s="9">
        <v>970.51448269685466</v>
      </c>
      <c r="M17" s="9">
        <v>1059.9039745241964</v>
      </c>
      <c r="N17" s="9">
        <v>1136.5235389476322</v>
      </c>
      <c r="O17" s="9">
        <v>1225.9130307749745</v>
      </c>
      <c r="P17" s="9">
        <v>1302.5325951984103</v>
      </c>
      <c r="Q17" s="9">
        <v>1379.1521596218461</v>
      </c>
      <c r="R17" s="10">
        <v>1468.5416514491878</v>
      </c>
    </row>
    <row r="18" spans="1:18" x14ac:dyDescent="0.35">
      <c r="B18" s="81">
        <v>2100</v>
      </c>
      <c r="C18" s="8">
        <v>242.62862067421366</v>
      </c>
      <c r="D18" s="9">
        <v>332.01811250155555</v>
      </c>
      <c r="E18" s="9">
        <v>421.40760432889738</v>
      </c>
      <c r="F18" s="9">
        <v>510.79709615623921</v>
      </c>
      <c r="G18" s="9">
        <v>600.18658798358103</v>
      </c>
      <c r="H18" s="9">
        <v>676.80615240701718</v>
      </c>
      <c r="I18" s="9">
        <v>766.19564423435872</v>
      </c>
      <c r="J18" s="9">
        <v>881.12499086951277</v>
      </c>
      <c r="K18" s="9">
        <v>957.74455529294858</v>
      </c>
      <c r="L18" s="9">
        <v>1047.1340471202905</v>
      </c>
      <c r="M18" s="9">
        <v>1136.5235389476322</v>
      </c>
      <c r="N18" s="9">
        <v>1225.9130307749745</v>
      </c>
      <c r="O18" s="9">
        <v>1302.5325951984103</v>
      </c>
      <c r="P18" s="9">
        <v>1391.922087025752</v>
      </c>
      <c r="Q18" s="9">
        <v>1481.311578853094</v>
      </c>
      <c r="R18" s="10">
        <v>1570.7010706804356</v>
      </c>
    </row>
    <row r="19" spans="1:18" x14ac:dyDescent="0.35">
      <c r="B19" s="81">
        <v>2250</v>
      </c>
      <c r="C19" s="8">
        <v>255.3985480781196</v>
      </c>
      <c r="D19" s="9">
        <v>357.55796730936748</v>
      </c>
      <c r="E19" s="9">
        <v>446.94745913670926</v>
      </c>
      <c r="F19" s="9">
        <v>536.3369509640512</v>
      </c>
      <c r="G19" s="9">
        <v>625.72644279139308</v>
      </c>
      <c r="H19" s="9">
        <v>727.88586202264094</v>
      </c>
      <c r="I19" s="9">
        <v>817.27535384998271</v>
      </c>
      <c r="J19" s="9">
        <v>932.20470048513653</v>
      </c>
      <c r="K19" s="9">
        <v>1021.5941923124784</v>
      </c>
      <c r="L19" s="9">
        <v>1110.9836841398205</v>
      </c>
      <c r="M19" s="9">
        <v>1213.1431033710683</v>
      </c>
      <c r="N19" s="9">
        <v>1302.5325951984103</v>
      </c>
      <c r="O19" s="9">
        <v>1391.922087025752</v>
      </c>
      <c r="P19" s="9">
        <v>1494.0815062569998</v>
      </c>
      <c r="Q19" s="9">
        <v>1583.4709980843418</v>
      </c>
      <c r="R19" s="10">
        <v>1685.6304173155895</v>
      </c>
    </row>
    <row r="20" spans="1:18" x14ac:dyDescent="0.35">
      <c r="B20" s="81">
        <v>2400</v>
      </c>
      <c r="C20" s="8">
        <v>268.1684754820256</v>
      </c>
      <c r="D20" s="9">
        <v>370.32789471327351</v>
      </c>
      <c r="E20" s="9">
        <v>472.4873139445213</v>
      </c>
      <c r="F20" s="9">
        <v>574.6467331757691</v>
      </c>
      <c r="G20" s="9">
        <v>676.80615240701718</v>
      </c>
      <c r="H20" s="9">
        <v>766.19564423435872</v>
      </c>
      <c r="I20" s="9">
        <v>868.3550634656068</v>
      </c>
      <c r="J20" s="9">
        <v>983.28441010076074</v>
      </c>
      <c r="K20" s="9">
        <v>1085.4438293320084</v>
      </c>
      <c r="L20" s="9">
        <v>1187.6032485632563</v>
      </c>
      <c r="M20" s="9">
        <v>1276.9927403905983</v>
      </c>
      <c r="N20" s="9">
        <v>1379.1521596218461</v>
      </c>
      <c r="O20" s="9">
        <v>1481.311578853094</v>
      </c>
      <c r="P20" s="9">
        <v>1583.4709980843418</v>
      </c>
      <c r="Q20" s="9">
        <v>1685.6304173155895</v>
      </c>
      <c r="R20" s="10">
        <v>1787.789836546837</v>
      </c>
    </row>
    <row r="21" spans="1:18" ht="15" thickBot="1" x14ac:dyDescent="0.4">
      <c r="B21" s="79">
        <v>2550</v>
      </c>
      <c r="C21" s="11">
        <v>280.93840288593162</v>
      </c>
      <c r="D21" s="12">
        <v>383.09782211717936</v>
      </c>
      <c r="E21" s="12">
        <v>498.02716875233318</v>
      </c>
      <c r="F21" s="12">
        <v>600.18658798358103</v>
      </c>
      <c r="G21" s="12">
        <v>702.346007214829</v>
      </c>
      <c r="H21" s="12">
        <v>817.27535384998271</v>
      </c>
      <c r="I21" s="12">
        <v>919.43477308123079</v>
      </c>
      <c r="J21" s="12">
        <v>1034.3641197163845</v>
      </c>
      <c r="K21" s="12">
        <v>1149.2934663515382</v>
      </c>
      <c r="L21" s="12">
        <v>1251.4528855827862</v>
      </c>
      <c r="M21" s="12">
        <v>1353.6123048140344</v>
      </c>
      <c r="N21" s="12">
        <v>1468.5416514491878</v>
      </c>
      <c r="O21" s="12">
        <v>1570.7010706804356</v>
      </c>
      <c r="P21" s="12">
        <v>1685.6304173155895</v>
      </c>
      <c r="Q21" s="12">
        <v>1787.789836546837</v>
      </c>
      <c r="R21" s="13">
        <v>1889.9492557780852</v>
      </c>
    </row>
    <row r="22" spans="1:18" ht="10.75" customHeight="1" thickTop="1" thickBot="1" x14ac:dyDescent="0.4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1:18" ht="24" thickTop="1" x14ac:dyDescent="0.55000000000000004">
      <c r="C23" s="122" t="s">
        <v>67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8"/>
    </row>
    <row r="24" spans="1:18" ht="15" thickBot="1" x14ac:dyDescent="0.4">
      <c r="C24" s="78">
        <v>825</v>
      </c>
      <c r="D24" s="77">
        <v>875</v>
      </c>
      <c r="E24" s="77">
        <v>925</v>
      </c>
      <c r="F24" s="77">
        <v>975</v>
      </c>
      <c r="G24" s="77">
        <v>1025</v>
      </c>
      <c r="H24" s="77">
        <v>1075</v>
      </c>
      <c r="I24" s="77">
        <v>1125</v>
      </c>
      <c r="J24" s="77">
        <v>1175</v>
      </c>
      <c r="K24" s="77">
        <v>1225</v>
      </c>
      <c r="L24" s="77">
        <v>1275</v>
      </c>
      <c r="M24" s="77">
        <v>1325</v>
      </c>
      <c r="N24" s="77">
        <v>1375</v>
      </c>
      <c r="O24" s="77">
        <v>1425</v>
      </c>
      <c r="P24" s="76">
        <v>1500</v>
      </c>
    </row>
    <row r="25" spans="1:18" ht="15" thickTop="1" x14ac:dyDescent="0.35">
      <c r="B25" s="74">
        <v>2100</v>
      </c>
      <c r="C25" s="5">
        <v>866.46997537813957</v>
      </c>
      <c r="D25" s="23">
        <v>879.32016569095083</v>
      </c>
      <c r="E25" s="23">
        <v>892.17035600376221</v>
      </c>
      <c r="F25" s="23">
        <v>905.02054631657381</v>
      </c>
      <c r="G25" s="23">
        <v>930.72092694219646</v>
      </c>
      <c r="H25" s="23">
        <v>956.42130756781921</v>
      </c>
      <c r="I25" s="23">
        <v>982.12168819344186</v>
      </c>
      <c r="J25" s="23">
        <v>1007.8220688190648</v>
      </c>
      <c r="K25" s="23">
        <v>1059.2228300703102</v>
      </c>
      <c r="L25" s="23">
        <v>1072.073020383122</v>
      </c>
      <c r="M25" s="23">
        <v>1097.7734010087445</v>
      </c>
      <c r="N25" s="23">
        <v>1123.4737816343672</v>
      </c>
      <c r="O25" s="23">
        <v>1149.1741622599902</v>
      </c>
      <c r="P25" s="7">
        <v>1239.1254944496698</v>
      </c>
    </row>
    <row r="26" spans="1:18" x14ac:dyDescent="0.35">
      <c r="B26" s="74">
        <v>2200</v>
      </c>
      <c r="C26" s="24">
        <v>892.17035600376221</v>
      </c>
      <c r="D26" s="9">
        <v>866.46997537813957</v>
      </c>
      <c r="E26" s="9">
        <v>917.87073662938496</v>
      </c>
      <c r="F26" s="9">
        <v>930.72092694219646</v>
      </c>
      <c r="G26" s="9">
        <v>956.42130756781921</v>
      </c>
      <c r="H26" s="9">
        <v>982.12168819344186</v>
      </c>
      <c r="I26" s="9">
        <v>1007.8220688190648</v>
      </c>
      <c r="J26" s="9">
        <v>1033.5224494446875</v>
      </c>
      <c r="K26" s="9">
        <v>1084.923210695933</v>
      </c>
      <c r="L26" s="9">
        <v>1097.7734010087445</v>
      </c>
      <c r="M26" s="9">
        <v>1123.4737816343672</v>
      </c>
      <c r="N26" s="9">
        <v>1149.1741622599902</v>
      </c>
      <c r="O26" s="9">
        <v>1174.8745428856128</v>
      </c>
      <c r="P26" s="10">
        <v>1290.5262557009153</v>
      </c>
    </row>
    <row r="27" spans="1:18" x14ac:dyDescent="0.35">
      <c r="B27" s="74">
        <v>2300</v>
      </c>
      <c r="C27" s="24">
        <v>917.87073662938496</v>
      </c>
      <c r="D27" s="9">
        <v>892.17035600376221</v>
      </c>
      <c r="E27" s="9">
        <v>930.72092694219646</v>
      </c>
      <c r="F27" s="9">
        <v>956.42130756781921</v>
      </c>
      <c r="G27" s="9">
        <v>982.12168819344186</v>
      </c>
      <c r="H27" s="9">
        <v>1007.8220688190648</v>
      </c>
      <c r="I27" s="9">
        <v>1033.5224494446875</v>
      </c>
      <c r="J27" s="9">
        <v>1059.2228300703102</v>
      </c>
      <c r="K27" s="9">
        <v>1059.2228300703102</v>
      </c>
      <c r="L27" s="9">
        <v>1110.6235913215558</v>
      </c>
      <c r="M27" s="9">
        <v>1149.1741622599902</v>
      </c>
      <c r="N27" s="9">
        <v>1174.8745428856128</v>
      </c>
      <c r="O27" s="9">
        <v>1200.5749235112355</v>
      </c>
      <c r="P27" s="10">
        <v>1341.9270169521606</v>
      </c>
    </row>
    <row r="28" spans="1:18" x14ac:dyDescent="0.35">
      <c r="B28" s="74">
        <v>2400</v>
      </c>
      <c r="C28" s="24">
        <v>930.72092694219646</v>
      </c>
      <c r="D28" s="9">
        <v>943.57111725500783</v>
      </c>
      <c r="E28" s="9">
        <v>956.42130756781921</v>
      </c>
      <c r="F28" s="9">
        <v>982.12168819344186</v>
      </c>
      <c r="G28" s="9">
        <v>1007.8220688190648</v>
      </c>
      <c r="H28" s="9">
        <v>1033.5224494446875</v>
      </c>
      <c r="I28" s="9">
        <v>1059.2228300703102</v>
      </c>
      <c r="J28" s="9">
        <v>1084.923210695933</v>
      </c>
      <c r="K28" s="9">
        <v>1110.6235913215558</v>
      </c>
      <c r="L28" s="9">
        <v>1149.1741622599902</v>
      </c>
      <c r="M28" s="9">
        <v>1174.8745428856128</v>
      </c>
      <c r="N28" s="9">
        <v>1200.5749235112355</v>
      </c>
      <c r="O28" s="9">
        <v>1226.2753041368583</v>
      </c>
      <c r="P28" s="10">
        <v>1393.3277782034065</v>
      </c>
    </row>
    <row r="29" spans="1:18" s="2" customFormat="1" x14ac:dyDescent="0.35">
      <c r="A29"/>
      <c r="B29" s="74">
        <v>2500</v>
      </c>
      <c r="C29" s="24">
        <v>956.42130756781921</v>
      </c>
      <c r="D29" s="9">
        <v>969.27149788063059</v>
      </c>
      <c r="E29" s="9">
        <v>982.12168819344186</v>
      </c>
      <c r="F29" s="9">
        <v>1007.8220688190648</v>
      </c>
      <c r="G29" s="9">
        <v>1033.5224494446875</v>
      </c>
      <c r="H29" s="9">
        <v>1059.2228300703102</v>
      </c>
      <c r="I29" s="9">
        <v>1084.923210695933</v>
      </c>
      <c r="J29" s="9">
        <v>1110.6235913215558</v>
      </c>
      <c r="K29" s="9">
        <v>1162.0243525728015</v>
      </c>
      <c r="L29" s="9">
        <v>1174.8745428856128</v>
      </c>
      <c r="M29" s="9">
        <v>1200.5749235112355</v>
      </c>
      <c r="N29" s="9">
        <v>1226.2753041368583</v>
      </c>
      <c r="O29" s="9">
        <v>1251.975684762481</v>
      </c>
      <c r="P29" s="10">
        <v>1444.7285394546518</v>
      </c>
    </row>
    <row r="30" spans="1:18" s="2" customFormat="1" ht="15" thickBot="1" x14ac:dyDescent="0.4">
      <c r="A30"/>
      <c r="B30" s="73">
        <v>2600</v>
      </c>
      <c r="C30" s="11">
        <v>982.12168819344186</v>
      </c>
      <c r="D30" s="12">
        <v>1007.8220688190648</v>
      </c>
      <c r="E30" s="12">
        <v>1033.5224494446875</v>
      </c>
      <c r="F30" s="12">
        <v>1059.2228300703102</v>
      </c>
      <c r="G30" s="12">
        <v>1084.923210695933</v>
      </c>
      <c r="H30" s="12">
        <v>1110.6235913215558</v>
      </c>
      <c r="I30" s="12">
        <v>1136.3239719471785</v>
      </c>
      <c r="J30" s="12">
        <v>1187.7247331984242</v>
      </c>
      <c r="K30" s="12">
        <v>1200.5749235112355</v>
      </c>
      <c r="L30" s="12">
        <v>1226.2753041368583</v>
      </c>
      <c r="M30" s="12">
        <v>1251.975684762481</v>
      </c>
      <c r="N30" s="12">
        <v>1277.6760653881038</v>
      </c>
      <c r="O30" s="12">
        <v>1303.3764460137265</v>
      </c>
      <c r="P30" s="13">
        <v>1496.1293007058978</v>
      </c>
    </row>
    <row r="31" spans="1:18" s="2" customFormat="1" ht="15" thickTop="1" x14ac:dyDescent="0.35">
      <c r="A31"/>
      <c r="B31" s="1"/>
    </row>
    <row r="32" spans="1:18" ht="18.5" x14ac:dyDescent="0.45">
      <c r="B32" s="113" t="s">
        <v>1</v>
      </c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</row>
  </sheetData>
  <mergeCells count="7">
    <mergeCell ref="H4:I4"/>
    <mergeCell ref="C6:R6"/>
    <mergeCell ref="C23:P23"/>
    <mergeCell ref="B32:R32"/>
    <mergeCell ref="A1:R1"/>
    <mergeCell ref="A2:R2"/>
    <mergeCell ref="A3:R3"/>
  </mergeCells>
  <pageMargins left="3.937007874015748E-2" right="3.937007874015748E-2" top="0.23622047244094491" bottom="0.23622047244094491" header="0.11811023622047245" footer="0.11811023622047245"/>
  <pageSetup paperSize="9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2CEB-D302-4355-B51D-80965D7A993A}">
  <sheetPr>
    <tabColor rgb="FF92D050"/>
    <pageSetUpPr fitToPage="1"/>
  </sheetPr>
  <dimension ref="A1:H30"/>
  <sheetViews>
    <sheetView zoomScaleNormal="100" workbookViewId="0">
      <selection activeCell="G7" sqref="G7"/>
    </sheetView>
  </sheetViews>
  <sheetFormatPr defaultColWidth="9.1796875" defaultRowHeight="28" customHeight="1" x14ac:dyDescent="0.55000000000000004"/>
  <cols>
    <col min="2" max="2" width="92.453125" style="37" customWidth="1"/>
    <col min="3" max="3" width="17.6328125" style="55" customWidth="1"/>
    <col min="4" max="4" width="12.81640625" style="55" customWidth="1"/>
    <col min="5" max="5" width="14.36328125" style="37" customWidth="1"/>
    <col min="6" max="7" width="9.1796875" style="37"/>
    <col min="8" max="8" width="12.08984375" style="37" bestFit="1" customWidth="1"/>
    <col min="9" max="16384" width="9.1796875" style="37"/>
  </cols>
  <sheetData>
    <row r="1" spans="1:8" ht="39" customHeight="1" thickBot="1" x14ac:dyDescent="0.6">
      <c r="A1" s="129" t="s">
        <v>47</v>
      </c>
      <c r="B1" s="131" t="s">
        <v>32</v>
      </c>
      <c r="C1" s="131"/>
      <c r="D1" s="131"/>
      <c r="E1" s="132"/>
    </row>
    <row r="2" spans="1:8" ht="32.5" customHeight="1" thickBot="1" x14ac:dyDescent="0.6">
      <c r="A2" s="130"/>
      <c r="B2" s="133" t="s">
        <v>33</v>
      </c>
      <c r="C2" s="133"/>
      <c r="D2" s="133"/>
      <c r="E2" s="134"/>
    </row>
    <row r="3" spans="1:8" ht="32.5" customHeight="1" thickBot="1" x14ac:dyDescent="0.6">
      <c r="A3" s="130"/>
      <c r="B3" s="135" t="s">
        <v>34</v>
      </c>
      <c r="C3" s="135"/>
      <c r="D3" s="135"/>
      <c r="E3" s="136"/>
    </row>
    <row r="4" spans="1:8" ht="23" customHeight="1" thickBot="1" x14ac:dyDescent="0.6">
      <c r="A4" s="130"/>
      <c r="B4" s="137" t="s">
        <v>76</v>
      </c>
      <c r="C4" s="138"/>
      <c r="D4" s="138"/>
      <c r="E4" s="139"/>
    </row>
    <row r="5" spans="1:8" ht="12.5" customHeight="1" thickBot="1" x14ac:dyDescent="0.6">
      <c r="A5" s="130"/>
      <c r="B5" s="140"/>
      <c r="C5" s="140"/>
      <c r="D5" s="140"/>
      <c r="E5" s="141"/>
    </row>
    <row r="6" spans="1:8" ht="28" customHeight="1" thickBot="1" x14ac:dyDescent="0.65">
      <c r="A6" s="130"/>
      <c r="B6" s="38" t="s">
        <v>35</v>
      </c>
      <c r="C6" s="39"/>
      <c r="D6" s="40"/>
      <c r="E6" s="41"/>
    </row>
    <row r="7" spans="1:8" ht="28" customHeight="1" thickBot="1" x14ac:dyDescent="0.6">
      <c r="A7" s="130"/>
      <c r="B7" s="42" t="s">
        <v>36</v>
      </c>
      <c r="C7" s="43">
        <v>180</v>
      </c>
      <c r="D7" s="44" t="s">
        <v>37</v>
      </c>
      <c r="E7" s="45"/>
      <c r="H7" s="97"/>
    </row>
    <row r="8" spans="1:8" ht="28" customHeight="1" thickBot="1" x14ac:dyDescent="0.6">
      <c r="A8" s="130"/>
      <c r="B8" s="46" t="s">
        <v>38</v>
      </c>
      <c r="C8" s="47">
        <v>190</v>
      </c>
      <c r="D8" s="44" t="s">
        <v>37</v>
      </c>
      <c r="E8" s="45"/>
      <c r="H8" s="97"/>
    </row>
    <row r="9" spans="1:8" ht="28" customHeight="1" thickBot="1" x14ac:dyDescent="0.6">
      <c r="A9" s="130"/>
      <c r="B9" s="48" t="s">
        <v>39</v>
      </c>
      <c r="C9" s="47">
        <v>205</v>
      </c>
      <c r="D9" s="44" t="s">
        <v>37</v>
      </c>
      <c r="E9" s="45"/>
      <c r="H9" s="97"/>
    </row>
    <row r="10" spans="1:8" ht="28" customHeight="1" thickBot="1" x14ac:dyDescent="0.6">
      <c r="A10" s="130"/>
      <c r="B10" s="48" t="s">
        <v>40</v>
      </c>
      <c r="C10" s="47">
        <v>35</v>
      </c>
      <c r="D10" s="44" t="s">
        <v>37</v>
      </c>
      <c r="E10" s="45"/>
      <c r="H10" s="97"/>
    </row>
    <row r="11" spans="1:8" ht="28" customHeight="1" thickBot="1" x14ac:dyDescent="0.6">
      <c r="A11" s="130"/>
      <c r="B11" s="49" t="s">
        <v>41</v>
      </c>
      <c r="C11" s="47">
        <v>115</v>
      </c>
      <c r="D11" s="44" t="s">
        <v>37</v>
      </c>
      <c r="E11" s="45"/>
      <c r="H11" s="97"/>
    </row>
    <row r="12" spans="1:8" ht="28" customHeight="1" thickBot="1" x14ac:dyDescent="0.6">
      <c r="A12" s="130"/>
      <c r="B12" s="50" t="s">
        <v>42</v>
      </c>
      <c r="C12" s="47">
        <v>32</v>
      </c>
      <c r="D12" s="44" t="s">
        <v>37</v>
      </c>
      <c r="E12" s="45"/>
      <c r="H12" s="97"/>
    </row>
    <row r="13" spans="1:8" ht="28" customHeight="1" thickBot="1" x14ac:dyDescent="0.6">
      <c r="A13" s="130"/>
      <c r="B13" s="48" t="s">
        <v>56</v>
      </c>
      <c r="C13" s="51">
        <v>96</v>
      </c>
      <c r="D13" s="44" t="s">
        <v>37</v>
      </c>
      <c r="E13" s="45"/>
      <c r="H13" s="97"/>
    </row>
    <row r="14" spans="1:8" ht="28" customHeight="1" thickBot="1" x14ac:dyDescent="0.6">
      <c r="A14" s="130"/>
      <c r="B14" s="42" t="s">
        <v>60</v>
      </c>
      <c r="C14" s="51">
        <v>75</v>
      </c>
      <c r="D14" s="44" t="s">
        <v>37</v>
      </c>
      <c r="E14" s="45"/>
      <c r="H14" s="97"/>
    </row>
    <row r="15" spans="1:8" ht="28" customHeight="1" thickBot="1" x14ac:dyDescent="0.6">
      <c r="A15" s="130"/>
      <c r="B15" s="42" t="s">
        <v>61</v>
      </c>
      <c r="C15" s="51">
        <v>75</v>
      </c>
      <c r="D15" s="44" t="s">
        <v>37</v>
      </c>
      <c r="E15" s="45"/>
      <c r="H15" s="97"/>
    </row>
    <row r="16" spans="1:8" ht="28" customHeight="1" thickBot="1" x14ac:dyDescent="0.6">
      <c r="A16" s="130"/>
      <c r="B16" s="42" t="s">
        <v>59</v>
      </c>
      <c r="C16" s="51">
        <v>75</v>
      </c>
      <c r="D16" s="44" t="s">
        <v>37</v>
      </c>
      <c r="E16" s="45"/>
      <c r="H16" s="97"/>
    </row>
    <row r="17" spans="1:8" ht="28" customHeight="1" thickBot="1" x14ac:dyDescent="0.6">
      <c r="A17" s="130"/>
      <c r="B17" s="42" t="s">
        <v>57</v>
      </c>
      <c r="C17" s="142" t="s">
        <v>58</v>
      </c>
      <c r="D17" s="143"/>
      <c r="E17" s="45"/>
    </row>
    <row r="18" spans="1:8" ht="28" customHeight="1" thickBot="1" x14ac:dyDescent="0.6">
      <c r="A18" s="130"/>
      <c r="B18" s="42" t="s">
        <v>43</v>
      </c>
      <c r="C18" s="142" t="s">
        <v>58</v>
      </c>
      <c r="D18" s="143"/>
      <c r="E18" s="45"/>
    </row>
    <row r="19" spans="1:8" ht="28" customHeight="1" thickBot="1" x14ac:dyDescent="0.65">
      <c r="A19" s="130"/>
      <c r="B19" s="38" t="s">
        <v>44</v>
      </c>
      <c r="C19" s="52"/>
      <c r="D19" s="40"/>
      <c r="E19" s="53"/>
    </row>
    <row r="20" spans="1:8" ht="28" customHeight="1" thickBot="1" x14ac:dyDescent="0.6">
      <c r="A20" s="130"/>
      <c r="B20" s="48" t="s">
        <v>52</v>
      </c>
      <c r="C20" s="47">
        <v>210</v>
      </c>
      <c r="D20" s="44"/>
      <c r="E20" s="54"/>
      <c r="H20" s="97"/>
    </row>
    <row r="21" spans="1:8" ht="28" customHeight="1" thickBot="1" x14ac:dyDescent="0.6">
      <c r="A21" s="130"/>
      <c r="B21" s="37" t="s">
        <v>53</v>
      </c>
      <c r="C21" s="47">
        <v>340</v>
      </c>
      <c r="D21" s="44" t="s">
        <v>37</v>
      </c>
      <c r="E21" s="45"/>
      <c r="H21" s="97"/>
    </row>
    <row r="22" spans="1:8" ht="28" customHeight="1" thickBot="1" x14ac:dyDescent="0.6">
      <c r="A22" s="130"/>
      <c r="B22" s="48" t="s">
        <v>55</v>
      </c>
      <c r="C22" s="47">
        <v>17.5</v>
      </c>
      <c r="D22" s="44" t="s">
        <v>37</v>
      </c>
      <c r="E22" s="54"/>
      <c r="H22" s="97"/>
    </row>
    <row r="23" spans="1:8" ht="28" customHeight="1" thickBot="1" x14ac:dyDescent="0.6">
      <c r="A23" s="130"/>
      <c r="B23" s="48" t="s">
        <v>62</v>
      </c>
      <c r="C23" s="47">
        <v>102</v>
      </c>
      <c r="D23" s="44" t="s">
        <v>37</v>
      </c>
      <c r="E23" s="54"/>
      <c r="H23" s="97"/>
    </row>
    <row r="24" spans="1:8" ht="28" customHeight="1" thickBot="1" x14ac:dyDescent="0.6">
      <c r="A24" s="130"/>
      <c r="B24" s="48" t="s">
        <v>54</v>
      </c>
      <c r="C24" s="47">
        <v>230</v>
      </c>
      <c r="D24" s="44" t="s">
        <v>37</v>
      </c>
      <c r="E24" s="54"/>
      <c r="H24" s="97"/>
    </row>
    <row r="25" spans="1:8" ht="28" customHeight="1" thickBot="1" x14ac:dyDescent="0.6">
      <c r="A25" s="130"/>
      <c r="B25" s="48" t="s">
        <v>48</v>
      </c>
      <c r="C25" s="47">
        <v>55</v>
      </c>
      <c r="D25" s="44" t="s">
        <v>37</v>
      </c>
      <c r="E25" s="54"/>
      <c r="H25" s="97"/>
    </row>
    <row r="26" spans="1:8" ht="28" customHeight="1" thickBot="1" x14ac:dyDescent="0.6">
      <c r="A26" s="130"/>
      <c r="B26" s="48" t="s">
        <v>49</v>
      </c>
      <c r="C26" s="47">
        <v>60</v>
      </c>
      <c r="D26" s="44" t="s">
        <v>37</v>
      </c>
      <c r="E26" s="54"/>
      <c r="H26" s="97"/>
    </row>
    <row r="27" spans="1:8" ht="28" customHeight="1" thickBot="1" x14ac:dyDescent="0.6">
      <c r="A27" s="130"/>
      <c r="B27" s="48" t="s">
        <v>50</v>
      </c>
      <c r="C27" s="47">
        <v>85</v>
      </c>
      <c r="D27" s="44" t="s">
        <v>37</v>
      </c>
      <c r="E27" s="54"/>
      <c r="H27" s="97"/>
    </row>
    <row r="28" spans="1:8" ht="28" customHeight="1" thickBot="1" x14ac:dyDescent="0.6">
      <c r="A28" s="130"/>
      <c r="B28" s="48" t="s">
        <v>51</v>
      </c>
      <c r="C28" s="47">
        <v>91</v>
      </c>
      <c r="D28" s="44" t="s">
        <v>37</v>
      </c>
      <c r="E28" s="54"/>
      <c r="H28" s="97"/>
    </row>
    <row r="29" spans="1:8" ht="28" customHeight="1" thickBot="1" x14ac:dyDescent="0.6">
      <c r="A29" s="130"/>
      <c r="B29" s="48" t="s">
        <v>45</v>
      </c>
      <c r="C29" s="47">
        <v>105</v>
      </c>
      <c r="D29" s="44" t="s">
        <v>37</v>
      </c>
      <c r="E29" s="54"/>
      <c r="H29" s="97"/>
    </row>
    <row r="30" spans="1:8" ht="28" customHeight="1" thickBot="1" x14ac:dyDescent="0.6">
      <c r="A30" s="130"/>
      <c r="B30" s="48" t="s">
        <v>46</v>
      </c>
      <c r="C30" s="47">
        <v>120</v>
      </c>
      <c r="D30" s="44" t="s">
        <v>37</v>
      </c>
      <c r="E30" s="54"/>
      <c r="H30" s="97"/>
    </row>
  </sheetData>
  <mergeCells count="8">
    <mergeCell ref="A1:A30"/>
    <mergeCell ref="B1:E1"/>
    <mergeCell ref="B2:E2"/>
    <mergeCell ref="B3:E3"/>
    <mergeCell ref="B4:E4"/>
    <mergeCell ref="B5:E5"/>
    <mergeCell ref="C17:D17"/>
    <mergeCell ref="C18:D18"/>
  </mergeCells>
  <pageMargins left="0.70866141732283472" right="0.70866141732283472" top="0.55118110236220474" bottom="0.35433070866141736" header="0.31496062992125984" footer="0.31496062992125984"/>
  <pageSetup paperSize="9" scale="60" fitToHeight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44"/>
  <sheetViews>
    <sheetView workbookViewId="0">
      <selection activeCell="F22" sqref="F22:K25"/>
    </sheetView>
  </sheetViews>
  <sheetFormatPr defaultRowHeight="14.5" x14ac:dyDescent="0.35"/>
  <cols>
    <col min="1" max="1" width="8.81640625" customWidth="1"/>
    <col min="2" max="2" width="8.1796875" style="1" customWidth="1"/>
    <col min="3" max="3" width="8.81640625" style="2" customWidth="1"/>
    <col min="4" max="11" width="8.1796875" style="2" customWidth="1"/>
  </cols>
  <sheetData>
    <row r="1" spans="1:11" ht="33.5" x14ac:dyDescent="0.75">
      <c r="A1" s="105" t="s">
        <v>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x14ac:dyDescent="0.35">
      <c r="B2" s="15"/>
      <c r="C2" s="16"/>
      <c r="F2" s="3" t="s">
        <v>0</v>
      </c>
      <c r="G2" s="106">
        <v>46054</v>
      </c>
      <c r="H2" s="107"/>
      <c r="K2" s="32">
        <v>0.06</v>
      </c>
    </row>
    <row r="3" spans="1:11" ht="11" customHeight="1" thickBot="1" x14ac:dyDescent="0.4"/>
    <row r="4" spans="1:11" ht="24" thickTop="1" x14ac:dyDescent="0.55000000000000004">
      <c r="C4" s="145" t="s">
        <v>2</v>
      </c>
      <c r="D4" s="146"/>
      <c r="E4" s="146"/>
      <c r="F4" s="146"/>
      <c r="G4" s="146"/>
      <c r="H4" s="146"/>
      <c r="I4" s="146"/>
      <c r="J4" s="146"/>
      <c r="K4" s="147"/>
    </row>
    <row r="5" spans="1:11" ht="15" thickBot="1" x14ac:dyDescent="0.4">
      <c r="B5" s="4"/>
      <c r="C5" s="17">
        <v>300</v>
      </c>
      <c r="D5" s="18">
        <v>450</v>
      </c>
      <c r="E5" s="18">
        <v>600</v>
      </c>
      <c r="F5" s="18">
        <v>750</v>
      </c>
      <c r="G5" s="18">
        <v>900</v>
      </c>
      <c r="H5" s="18">
        <v>1050</v>
      </c>
      <c r="I5" s="18">
        <v>1200</v>
      </c>
      <c r="J5" s="18">
        <v>1350</v>
      </c>
      <c r="K5" s="19">
        <v>1500</v>
      </c>
    </row>
    <row r="6" spans="1:11" ht="15" thickTop="1" x14ac:dyDescent="0.35">
      <c r="B6" s="20">
        <v>600</v>
      </c>
      <c r="C6" s="56">
        <v>95</v>
      </c>
      <c r="D6" s="23">
        <v>95</v>
      </c>
      <c r="E6" s="57">
        <v>95</v>
      </c>
      <c r="F6" s="23">
        <v>95</v>
      </c>
      <c r="G6" s="23">
        <f>'Data Sheet Grille'!G6*(1+$K$2)</f>
        <v>121.51733691605511</v>
      </c>
      <c r="H6" s="23">
        <f>'Data Sheet Grille'!H6*(1+$K$2)</f>
        <v>141.77022640206431</v>
      </c>
      <c r="I6" s="23">
        <f>'Data Sheet Grille'!I6*(1+$K$2)</f>
        <v>162.02311588807348</v>
      </c>
      <c r="J6" s="23">
        <f>'Data Sheet Grille'!J6*(1+$K$2)</f>
        <v>182.27600537408264</v>
      </c>
      <c r="K6" s="7">
        <f>'Data Sheet Grille'!K6*(1+$K$2)</f>
        <v>202.5288948600919</v>
      </c>
    </row>
    <row r="7" spans="1:11" x14ac:dyDescent="0.35">
      <c r="B7" s="21">
        <v>750</v>
      </c>
      <c r="C7" s="24">
        <v>95</v>
      </c>
      <c r="D7" s="9">
        <v>95</v>
      </c>
      <c r="E7" s="9">
        <v>95</v>
      </c>
      <c r="F7" s="9">
        <f>'Data Sheet Grille'!F7*(1+$K$2)</f>
        <v>126.58055928755739</v>
      </c>
      <c r="G7" s="9">
        <f>'Data Sheet Grille'!G7*(1+$K$2)</f>
        <v>151.89667114506886</v>
      </c>
      <c r="H7" s="9">
        <f>'Data Sheet Grille'!H7*(1+$K$2)</f>
        <v>177.21278300258041</v>
      </c>
      <c r="I7" s="9">
        <f>'Data Sheet Grille'!I7*(1+$K$2)</f>
        <v>202.5288948600919</v>
      </c>
      <c r="J7" s="9">
        <f>'Data Sheet Grille'!J7*(1+$K$2)</f>
        <v>227.8450067176033</v>
      </c>
      <c r="K7" s="10">
        <f>'Data Sheet Grille'!K7*(1+$K$2)</f>
        <v>253.16111857511478</v>
      </c>
    </row>
    <row r="8" spans="1:11" x14ac:dyDescent="0.35">
      <c r="B8" s="21">
        <v>900</v>
      </c>
      <c r="C8" s="24">
        <v>95</v>
      </c>
      <c r="D8" s="9">
        <v>95</v>
      </c>
      <c r="E8" s="9">
        <f>'Data Sheet Grille'!E8*(1+$K$2)</f>
        <v>121.51733691605511</v>
      </c>
      <c r="F8" s="9">
        <f>'Data Sheet Grille'!F8*(1+$K$2)</f>
        <v>151.89667114506886</v>
      </c>
      <c r="G8" s="9">
        <f>'Data Sheet Grille'!G8*(1+$K$2)</f>
        <v>182.27600537408264</v>
      </c>
      <c r="H8" s="9">
        <f>'Data Sheet Grille'!H8*(1+$K$2)</f>
        <v>212.65533960309645</v>
      </c>
      <c r="I8" s="9">
        <f>'Data Sheet Grille'!I8*(1+$K$2)</f>
        <v>243.03467383211023</v>
      </c>
      <c r="J8" s="9">
        <f>'Data Sheet Grille'!J8*(1+$K$2)</f>
        <v>273.41400806112404</v>
      </c>
      <c r="K8" s="10">
        <f>'Data Sheet Grille'!K8*(1+$K$2)</f>
        <v>303.79334229013773</v>
      </c>
    </row>
    <row r="9" spans="1:11" x14ac:dyDescent="0.35">
      <c r="B9" s="21">
        <v>1050</v>
      </c>
      <c r="C9" s="24">
        <v>95</v>
      </c>
      <c r="D9" s="9">
        <f>'Data Sheet Grille'!D9*(1+$K$2)</f>
        <v>106.32766980154823</v>
      </c>
      <c r="E9" s="9">
        <f>'Data Sheet Grille'!E9*(1+$K$2)</f>
        <v>141.77022640206431</v>
      </c>
      <c r="F9" s="9">
        <f>'Data Sheet Grille'!F9*(1+$K$2)</f>
        <v>177.21278300258041</v>
      </c>
      <c r="G9" s="9">
        <f>'Data Sheet Grille'!G9*(1+$K$2)</f>
        <v>212.65533960309645</v>
      </c>
      <c r="H9" s="9">
        <f>'Data Sheet Grille'!H9*(1+$K$2)</f>
        <v>248.09789620361255</v>
      </c>
      <c r="I9" s="9">
        <f>'Data Sheet Grille'!I9*(1+$K$2)</f>
        <v>283.54045280412862</v>
      </c>
      <c r="J9" s="9">
        <f>'Data Sheet Grille'!J9*(1+$K$2)</f>
        <v>318.98300940464463</v>
      </c>
      <c r="K9" s="10">
        <f>'Data Sheet Grille'!K9*(1+$K$2)</f>
        <v>354.42556600516082</v>
      </c>
    </row>
    <row r="10" spans="1:11" x14ac:dyDescent="0.35">
      <c r="B10" s="21">
        <v>1200</v>
      </c>
      <c r="C10" s="24">
        <v>95</v>
      </c>
      <c r="D10" s="9">
        <f>'Data Sheet Grille'!D10*(1+$K$2)</f>
        <v>121.51733691605511</v>
      </c>
      <c r="E10" s="9">
        <f>'Data Sheet Grille'!E10*(1+$K$2)</f>
        <v>162.02311588807348</v>
      </c>
      <c r="F10" s="9">
        <f>'Data Sheet Grille'!F10*(1+$K$2)</f>
        <v>202.5288948600919</v>
      </c>
      <c r="G10" s="9">
        <f>'Data Sheet Grille'!G10*(1+$K$2)</f>
        <v>243.03467383211023</v>
      </c>
      <c r="H10" s="9">
        <f>'Data Sheet Grille'!H10*(1+$K$2)</f>
        <v>283.54045280412862</v>
      </c>
      <c r="I10" s="9">
        <f>'Data Sheet Grille'!I10*(1+$K$2)</f>
        <v>324.04623177614695</v>
      </c>
      <c r="J10" s="9">
        <f>'Data Sheet Grille'!J10*(1+$K$2)</f>
        <v>364.55201074816529</v>
      </c>
      <c r="K10" s="10">
        <f>'Data Sheet Grille'!K10*(1+$K$2)</f>
        <v>405.05778972018379</v>
      </c>
    </row>
    <row r="11" spans="1:11" x14ac:dyDescent="0.35">
      <c r="B11" s="21">
        <v>1350</v>
      </c>
      <c r="C11" s="24">
        <v>95</v>
      </c>
      <c r="D11" s="9">
        <f>'Data Sheet Grille'!D11*(1+$K$2)</f>
        <v>136.70700403056202</v>
      </c>
      <c r="E11" s="9">
        <f>'Data Sheet Grille'!E11*(1+$K$2)</f>
        <v>182.27600537408264</v>
      </c>
      <c r="F11" s="9">
        <f>'Data Sheet Grille'!F11*(1+$K$2)</f>
        <v>227.8450067176033</v>
      </c>
      <c r="G11" s="9">
        <f>'Data Sheet Grille'!G11*(1+$K$2)</f>
        <v>273.41400806112404</v>
      </c>
      <c r="H11" s="9">
        <f>'Data Sheet Grille'!H11*(1+$K$2)</f>
        <v>318.98300940464463</v>
      </c>
      <c r="I11" s="9">
        <f>'Data Sheet Grille'!I11*(1+$K$2)</f>
        <v>364.55201074816529</v>
      </c>
      <c r="J11" s="9">
        <f>'Data Sheet Grille'!J11*(1+$K$2)</f>
        <v>410.121012091686</v>
      </c>
      <c r="K11" s="10">
        <f>'Data Sheet Grille'!K11*(1+$K$2)</f>
        <v>455.69001343520659</v>
      </c>
    </row>
    <row r="12" spans="1:11" x14ac:dyDescent="0.35">
      <c r="B12" s="21">
        <v>1500</v>
      </c>
      <c r="C12" s="24">
        <v>95</v>
      </c>
      <c r="D12" s="9">
        <f>'Data Sheet Grille'!D12*(1+$K$2)</f>
        <v>151.89667114506886</v>
      </c>
      <c r="E12" s="9">
        <f>'Data Sheet Grille'!E12*(1+$K$2)</f>
        <v>202.5288948600919</v>
      </c>
      <c r="F12" s="9">
        <f>'Data Sheet Grille'!F12*(1+$K$2)</f>
        <v>253.16111857511478</v>
      </c>
      <c r="G12" s="9">
        <f>'Data Sheet Grille'!G12*(1+$K$2)</f>
        <v>303.79334229013773</v>
      </c>
      <c r="H12" s="9">
        <f>'Data Sheet Grille'!H12*(1+$K$2)</f>
        <v>354.42556600516082</v>
      </c>
      <c r="I12" s="9">
        <f>'Data Sheet Grille'!I12*(1+$K$2)</f>
        <v>405.05778972018379</v>
      </c>
      <c r="J12" s="9">
        <f>'Data Sheet Grille'!J12*(1+$K$2)</f>
        <v>455.69001343520659</v>
      </c>
      <c r="K12" s="10">
        <f>'Data Sheet Grille'!K12*(1+$K$2)</f>
        <v>506.32223715022957</v>
      </c>
    </row>
    <row r="13" spans="1:11" x14ac:dyDescent="0.35">
      <c r="B13" s="21">
        <v>1650</v>
      </c>
      <c r="C13" s="24">
        <v>95</v>
      </c>
      <c r="D13" s="9">
        <f>'Data Sheet Grille'!D13*(1+$K$2)</f>
        <v>167.0863382595758</v>
      </c>
      <c r="E13" s="9">
        <f>'Data Sheet Grille'!E13*(1+$K$2)</f>
        <v>222.78178434610103</v>
      </c>
      <c r="F13" s="9">
        <f>'Data Sheet Grille'!F13*(1+$K$2)</f>
        <v>278.4772304326263</v>
      </c>
      <c r="G13" s="9">
        <f>'Data Sheet Grille'!G13*(1+$K$2)</f>
        <v>334.17267651915159</v>
      </c>
      <c r="H13" s="9">
        <f>'Data Sheet Grille'!H13*(1+$K$2)</f>
        <v>389.86812260567677</v>
      </c>
      <c r="I13" s="9">
        <f>'Data Sheet Grille'!I13*(1+$K$2)</f>
        <v>445.56356869220207</v>
      </c>
      <c r="J13" s="9">
        <f>'Data Sheet Grille'!J13*(1+$K$2)</f>
        <v>501.25901477872731</v>
      </c>
      <c r="K13" s="10">
        <f>'Data Sheet Grille'!K13*(1+$K$2)</f>
        <v>556.9544608652526</v>
      </c>
    </row>
    <row r="14" spans="1:11" x14ac:dyDescent="0.35">
      <c r="B14" s="21">
        <v>1800</v>
      </c>
      <c r="C14" s="24">
        <f>'Data Sheet Grille'!C14*(1+$K$2)</f>
        <v>121.51733691605511</v>
      </c>
      <c r="D14" s="9">
        <f>'Data Sheet Grille'!D14*(1+$K$2)</f>
        <v>182.27600537408264</v>
      </c>
      <c r="E14" s="9">
        <f>'Data Sheet Grille'!E14*(1+$K$2)</f>
        <v>243.03467383211023</v>
      </c>
      <c r="F14" s="9">
        <f>'Data Sheet Grille'!F14*(1+$K$2)</f>
        <v>303.79334229013773</v>
      </c>
      <c r="G14" s="9">
        <f>'Data Sheet Grille'!G14*(1+$K$2)</f>
        <v>364.55201074816529</v>
      </c>
      <c r="H14" s="9">
        <f>'Data Sheet Grille'!H14*(1+$K$2)</f>
        <v>425.3106792061929</v>
      </c>
      <c r="I14" s="9">
        <f>'Data Sheet Grille'!I14*(1+$K$2)</f>
        <v>486.06934766422046</v>
      </c>
      <c r="J14" s="9">
        <f>'Data Sheet Grille'!J14*(1+$K$2)</f>
        <v>546.82801612224807</v>
      </c>
      <c r="K14" s="10">
        <f>'Data Sheet Grille'!K14*(1+$K$2)</f>
        <v>607.58668458027546</v>
      </c>
    </row>
    <row r="15" spans="1:11" x14ac:dyDescent="0.35">
      <c r="B15" s="21">
        <v>1950</v>
      </c>
      <c r="C15" s="24">
        <f>'Data Sheet Grille'!C15*(1+$K$2)</f>
        <v>131.64378165905967</v>
      </c>
      <c r="D15" s="9">
        <f>'Data Sheet Grille'!D15*(1+$K$2)</f>
        <v>197.46567248858958</v>
      </c>
      <c r="E15" s="9">
        <f>'Data Sheet Grille'!E15*(1+$K$2)</f>
        <v>263.28756331811934</v>
      </c>
      <c r="F15" s="9">
        <f>'Data Sheet Grille'!F15*(1+$K$2)</f>
        <v>329.10945414764927</v>
      </c>
      <c r="G15" s="9">
        <f>'Data Sheet Grille'!G15*(1+$K$2)</f>
        <v>394.93134497717915</v>
      </c>
      <c r="H15" s="9">
        <f>'Data Sheet Grille'!H15*(1+$K$2)</f>
        <v>460.75323580670903</v>
      </c>
      <c r="I15" s="9">
        <f>'Data Sheet Grille'!I15*(1+$K$2)</f>
        <v>526.57512663623868</v>
      </c>
      <c r="J15" s="9">
        <f>'Data Sheet Grille'!J15*(1+$K$2)</f>
        <v>592.39701746576861</v>
      </c>
      <c r="K15" s="10">
        <f>'Data Sheet Grille'!K15*(1+$K$2)</f>
        <v>658.21890829529855</v>
      </c>
    </row>
    <row r="16" spans="1:11" x14ac:dyDescent="0.35">
      <c r="B16" s="21">
        <v>2100</v>
      </c>
      <c r="C16" s="24">
        <f>'Data Sheet Grille'!C16*(1+$K$2)</f>
        <v>141.77022640206431</v>
      </c>
      <c r="D16" s="9">
        <f>'Data Sheet Grille'!D16*(1+$K$2)</f>
        <v>212.65533960309645</v>
      </c>
      <c r="E16" s="9">
        <f>'Data Sheet Grille'!E16*(1+$K$2)</f>
        <v>283.54045280412862</v>
      </c>
      <c r="F16" s="9">
        <f>'Data Sheet Grille'!F16*(1+$K$2)</f>
        <v>354.42556600516082</v>
      </c>
      <c r="G16" s="9">
        <f>'Data Sheet Grille'!G16*(1+$K$2)</f>
        <v>425.3106792061929</v>
      </c>
      <c r="H16" s="9">
        <f>'Data Sheet Grille'!H16*(1+$K$2)</f>
        <v>496.1957924072251</v>
      </c>
      <c r="I16" s="9">
        <f>'Data Sheet Grille'!I16*(1+$K$2)</f>
        <v>567.08090560825724</v>
      </c>
      <c r="J16" s="9">
        <f>'Data Sheet Grille'!J16*(1+$K$2)</f>
        <v>637.96601880928927</v>
      </c>
      <c r="K16" s="10">
        <f>'Data Sheet Grille'!K16*(1+$K$2)</f>
        <v>708.85113201032163</v>
      </c>
    </row>
    <row r="17" spans="2:17" x14ac:dyDescent="0.35">
      <c r="B17" s="21">
        <v>2250</v>
      </c>
      <c r="C17" s="24">
        <f>'Data Sheet Grille'!C17*(1+$K$2)</f>
        <v>151.89667114506886</v>
      </c>
      <c r="D17" s="9">
        <f>'Data Sheet Grille'!D17*(1+$K$2)</f>
        <v>227.8450067176033</v>
      </c>
      <c r="E17" s="9">
        <f>'Data Sheet Grille'!E17*(1+$K$2)</f>
        <v>303.79334229013773</v>
      </c>
      <c r="F17" s="9">
        <f>'Data Sheet Grille'!F17*(1+$K$2)</f>
        <v>379.74167786267213</v>
      </c>
      <c r="G17" s="9">
        <f>'Data Sheet Grille'!G17*(1+$K$2)</f>
        <v>455.69001343520659</v>
      </c>
      <c r="H17" s="9">
        <f>'Data Sheet Grille'!H17*(1+$K$2)</f>
        <v>531.638349007741</v>
      </c>
      <c r="I17" s="9">
        <f>'Data Sheet Grille'!I17*(1+$K$2)</f>
        <v>607.58668458027546</v>
      </c>
      <c r="J17" s="9">
        <f>'Data Sheet Grille'!J17*(1+$K$2)</f>
        <v>683.53502015281003</v>
      </c>
      <c r="K17" s="10">
        <f>'Data Sheet Grille'!K17*(1+$K$2)</f>
        <v>759.48335572534427</v>
      </c>
    </row>
    <row r="18" spans="2:17" x14ac:dyDescent="0.35">
      <c r="B18" s="21">
        <v>2400</v>
      </c>
      <c r="C18" s="24">
        <f>'Data Sheet Grille'!C18*(1+$K$2)</f>
        <v>162.02311588807348</v>
      </c>
      <c r="D18" s="9">
        <f>'Data Sheet Grille'!D18*(1+$K$2)</f>
        <v>243.03467383211023</v>
      </c>
      <c r="E18" s="9">
        <f>'Data Sheet Grille'!E18*(1+$K$2)</f>
        <v>324.04623177614695</v>
      </c>
      <c r="F18" s="9">
        <f>'Data Sheet Grille'!F18*(1+$K$2)</f>
        <v>405.05778972018379</v>
      </c>
      <c r="G18" s="9">
        <f>'Data Sheet Grille'!G18*(1+$K$2)</f>
        <v>486.06934766422046</v>
      </c>
      <c r="H18" s="9">
        <f>'Data Sheet Grille'!H18*(1+$K$2)</f>
        <v>567.08090560825724</v>
      </c>
      <c r="I18" s="9">
        <f>'Data Sheet Grille'!I18*(1+$K$2)</f>
        <v>648.09246355229391</v>
      </c>
      <c r="J18" s="9">
        <f>'Data Sheet Grille'!J18*(1+$K$2)</f>
        <v>729.10402149633057</v>
      </c>
      <c r="K18" s="10">
        <f>'Data Sheet Grille'!K18*(1+$K$2)</f>
        <v>810.11557944036758</v>
      </c>
    </row>
    <row r="19" spans="2:17" ht="15" thickBot="1" x14ac:dyDescent="0.4">
      <c r="B19" s="22">
        <v>2550</v>
      </c>
      <c r="C19" s="11">
        <f>'Data Sheet Grille'!C19*(1+$K$2)</f>
        <v>172.14956063107806</v>
      </c>
      <c r="D19" s="12">
        <f>'Data Sheet Grille'!D19*(1+$K$2)</f>
        <v>258.22434094661708</v>
      </c>
      <c r="E19" s="12">
        <f>'Data Sheet Grille'!E19*(1+$K$2)</f>
        <v>344.29912126215612</v>
      </c>
      <c r="F19" s="12">
        <f>'Data Sheet Grille'!F19*(1+$K$2)</f>
        <v>430.37390157769522</v>
      </c>
      <c r="G19" s="12">
        <f>'Data Sheet Grille'!G19*(1+$K$2)</f>
        <v>516.44868189323415</v>
      </c>
      <c r="H19" s="12">
        <f>'Data Sheet Grille'!H19*(1+$K$2)</f>
        <v>602.52346220877325</v>
      </c>
      <c r="I19" s="12">
        <f>'Data Sheet Grille'!I19*(1+$K$2)</f>
        <v>688.59824252431224</v>
      </c>
      <c r="J19" s="12">
        <f>'Data Sheet Grille'!J19*(1+$K$2)</f>
        <v>774.67302283985146</v>
      </c>
      <c r="K19" s="13">
        <f>'Data Sheet Grille'!K19*(1+$K$2)</f>
        <v>860.74780315539044</v>
      </c>
    </row>
    <row r="20" spans="2:17" ht="9" customHeight="1" thickTop="1" thickBot="1" x14ac:dyDescent="0.4"/>
    <row r="21" spans="2:17" ht="15" thickTop="1" x14ac:dyDescent="0.35">
      <c r="C21" s="148" t="s">
        <v>75</v>
      </c>
      <c r="D21" s="149"/>
      <c r="E21" s="149"/>
      <c r="F21" s="152" t="s">
        <v>28</v>
      </c>
      <c r="G21" s="149"/>
      <c r="H21" s="149"/>
      <c r="I21" s="152" t="s">
        <v>29</v>
      </c>
      <c r="J21" s="149"/>
      <c r="K21" s="153"/>
    </row>
    <row r="22" spans="2:17" x14ac:dyDescent="0.35">
      <c r="C22" s="160" t="s">
        <v>11</v>
      </c>
      <c r="D22" s="161"/>
      <c r="E22" s="161"/>
      <c r="F22" s="154">
        <v>69</v>
      </c>
      <c r="G22" s="155"/>
      <c r="H22" s="155"/>
      <c r="I22" s="154">
        <v>94</v>
      </c>
      <c r="J22" s="155"/>
      <c r="K22" s="156"/>
      <c r="P22" s="104"/>
      <c r="Q22" s="104"/>
    </row>
    <row r="23" spans="2:17" x14ac:dyDescent="0.35">
      <c r="C23" s="160" t="s">
        <v>12</v>
      </c>
      <c r="D23" s="161"/>
      <c r="E23" s="161"/>
      <c r="F23" s="154">
        <v>22</v>
      </c>
      <c r="G23" s="155"/>
      <c r="H23" s="155"/>
      <c r="I23" s="154">
        <v>32</v>
      </c>
      <c r="J23" s="155"/>
      <c r="K23" s="156"/>
      <c r="P23" s="104"/>
      <c r="Q23" s="104"/>
    </row>
    <row r="24" spans="2:17" x14ac:dyDescent="0.35">
      <c r="C24" s="160" t="s">
        <v>13</v>
      </c>
      <c r="D24" s="161"/>
      <c r="E24" s="161"/>
      <c r="F24" s="154">
        <v>45</v>
      </c>
      <c r="G24" s="155"/>
      <c r="H24" s="155"/>
      <c r="I24" s="154">
        <v>66</v>
      </c>
      <c r="J24" s="155"/>
      <c r="K24" s="156"/>
      <c r="P24" s="104"/>
      <c r="Q24" s="104"/>
    </row>
    <row r="25" spans="2:17" ht="15" thickBot="1" x14ac:dyDescent="0.4">
      <c r="C25" s="150" t="s">
        <v>14</v>
      </c>
      <c r="D25" s="151"/>
      <c r="E25" s="151"/>
      <c r="F25" s="157">
        <v>74</v>
      </c>
      <c r="G25" s="158"/>
      <c r="H25" s="158"/>
      <c r="I25" s="157">
        <v>98</v>
      </c>
      <c r="J25" s="158"/>
      <c r="K25" s="159"/>
      <c r="P25" s="104"/>
      <c r="Q25" s="104"/>
    </row>
    <row r="26" spans="2:17" ht="15" thickTop="1" x14ac:dyDescent="0.35"/>
    <row r="28" spans="2:17" ht="15" thickBot="1" x14ac:dyDescent="0.4">
      <c r="K28" s="98">
        <v>0.06</v>
      </c>
    </row>
    <row r="29" spans="2:17" ht="24" thickTop="1" x14ac:dyDescent="0.55000000000000004">
      <c r="C29" s="145" t="s">
        <v>3</v>
      </c>
      <c r="D29" s="146"/>
      <c r="E29" s="146"/>
      <c r="F29" s="146"/>
      <c r="G29" s="146"/>
      <c r="H29" s="146"/>
      <c r="I29" s="146"/>
      <c r="J29" s="146"/>
      <c r="K29" s="147"/>
    </row>
    <row r="30" spans="2:17" ht="15" thickBot="1" x14ac:dyDescent="0.4">
      <c r="C30" s="17">
        <v>800</v>
      </c>
      <c r="D30" s="18">
        <v>900</v>
      </c>
      <c r="E30" s="18">
        <v>1000</v>
      </c>
      <c r="F30" s="18">
        <v>1100</v>
      </c>
      <c r="G30" s="18">
        <v>1200</v>
      </c>
      <c r="H30" s="18">
        <v>1300</v>
      </c>
      <c r="I30" s="18">
        <v>1400</v>
      </c>
      <c r="J30" s="18">
        <v>1500</v>
      </c>
      <c r="K30" s="19">
        <v>1600</v>
      </c>
    </row>
    <row r="31" spans="2:17" ht="15" thickTop="1" x14ac:dyDescent="0.35">
      <c r="B31" s="20">
        <v>2100</v>
      </c>
      <c r="C31" s="5">
        <f>'Data Sheet Grille'!C30*(1+$K$28)</f>
        <v>609.64131226897803</v>
      </c>
      <c r="D31" s="23">
        <f>'Data Sheet Grille'!D30*(1+$K$28)</f>
        <v>625.68450469710888</v>
      </c>
      <c r="E31" s="23">
        <f>'Data Sheet Grille'!E30*(1+$K$28)</f>
        <v>641.72769712524018</v>
      </c>
      <c r="F31" s="23">
        <f>'Data Sheet Grille'!F30*(1+$K$28)</f>
        <v>657.77088955337115</v>
      </c>
      <c r="G31" s="23">
        <f>'Data Sheet Grille'!G30*(1+$K$28)</f>
        <v>673.814081981502</v>
      </c>
      <c r="H31" s="23">
        <f>'Data Sheet Grille'!H30*(1+$K$28)</f>
        <v>689.85727440963308</v>
      </c>
      <c r="I31" s="23">
        <f>'Data Sheet Grille'!I30*(1+$K$28)</f>
        <v>705.90046683776416</v>
      </c>
      <c r="J31" s="23">
        <f>'Data Sheet Grille'!J30*(1+$K$28)</f>
        <v>721.94365926589489</v>
      </c>
      <c r="K31" s="7">
        <f>'Data Sheet Grille'!K30*(1+$K$28)</f>
        <v>737.98685169402609</v>
      </c>
    </row>
    <row r="32" spans="2:17" x14ac:dyDescent="0.35">
      <c r="B32" s="21">
        <v>2200</v>
      </c>
      <c r="C32" s="24">
        <f>'Data Sheet Grille'!C31*(1+$K$28)</f>
        <v>625.68450469710888</v>
      </c>
      <c r="D32" s="9">
        <f>'Data Sheet Grille'!D31*(1+$K$28)</f>
        <v>641.72769712524018</v>
      </c>
      <c r="E32" s="9">
        <f>'Data Sheet Grille'!E31*(1+$K$28)</f>
        <v>657.77088955337115</v>
      </c>
      <c r="F32" s="9">
        <f>'Data Sheet Grille'!F31*(1+$K$28)</f>
        <v>673.814081981502</v>
      </c>
      <c r="G32" s="9">
        <f>'Data Sheet Grille'!G31*(1+$K$28)</f>
        <v>689.85727440963308</v>
      </c>
      <c r="H32" s="9">
        <f>'Data Sheet Grille'!H31*(1+$K$28)</f>
        <v>705.90046683776416</v>
      </c>
      <c r="I32" s="9">
        <f>'Data Sheet Grille'!I31*(1+$K$28)</f>
        <v>721.94365926589489</v>
      </c>
      <c r="J32" s="9">
        <f>'Data Sheet Grille'!J31*(1+$K$28)</f>
        <v>737.98685169402609</v>
      </c>
      <c r="K32" s="10">
        <f>'Data Sheet Grille'!K31*(1+$K$28)</f>
        <v>754.03004412215705</v>
      </c>
    </row>
    <row r="33" spans="2:17" x14ac:dyDescent="0.35">
      <c r="B33" s="21">
        <v>2300</v>
      </c>
      <c r="C33" s="24">
        <f>'Data Sheet Grille'!C32*(1+$K$28)</f>
        <v>641.72769712524018</v>
      </c>
      <c r="D33" s="9">
        <f>'Data Sheet Grille'!D32*(1+$K$28)</f>
        <v>657.77088955337115</v>
      </c>
      <c r="E33" s="9">
        <f>'Data Sheet Grille'!E32*(1+$K$28)</f>
        <v>673.814081981502</v>
      </c>
      <c r="F33" s="9">
        <f>'Data Sheet Grille'!F32*(1+$K$28)</f>
        <v>689.85727440963308</v>
      </c>
      <c r="G33" s="9">
        <f>'Data Sheet Grille'!G32*(1+$K$28)</f>
        <v>705.90046683776416</v>
      </c>
      <c r="H33" s="9">
        <f>'Data Sheet Grille'!H32*(1+$K$28)</f>
        <v>721.94365926589489</v>
      </c>
      <c r="I33" s="9">
        <f>'Data Sheet Grille'!I32*(1+$K$28)</f>
        <v>737.98685169402609</v>
      </c>
      <c r="J33" s="9">
        <f>'Data Sheet Grille'!J32*(1+$K$28)</f>
        <v>754.03004412215705</v>
      </c>
      <c r="K33" s="10">
        <f>'Data Sheet Grille'!K32*(1+$K$28)</f>
        <v>770.07323655028813</v>
      </c>
    </row>
    <row r="34" spans="2:17" x14ac:dyDescent="0.35">
      <c r="B34" s="21">
        <v>2400</v>
      </c>
      <c r="C34" s="24">
        <f>'Data Sheet Grille'!C33*(1+$K$28)</f>
        <v>657.77088955337115</v>
      </c>
      <c r="D34" s="9">
        <f>'Data Sheet Grille'!D33*(1+$K$28)</f>
        <v>673.814081981502</v>
      </c>
      <c r="E34" s="9">
        <f>'Data Sheet Grille'!E33*(1+$K$28)</f>
        <v>689.85727440963308</v>
      </c>
      <c r="F34" s="9">
        <f>'Data Sheet Grille'!F33*(1+$K$28)</f>
        <v>705.90046683776416</v>
      </c>
      <c r="G34" s="9">
        <f>'Data Sheet Grille'!G33*(1+$K$28)</f>
        <v>721.94365926589489</v>
      </c>
      <c r="H34" s="9">
        <f>'Data Sheet Grille'!H33*(1+$K$28)</f>
        <v>737.98685169402609</v>
      </c>
      <c r="I34" s="9">
        <f>'Data Sheet Grille'!I33*(1+$K$28)</f>
        <v>754.03004412215705</v>
      </c>
      <c r="J34" s="9">
        <f>'Data Sheet Grille'!J33*(1+$K$28)</f>
        <v>770.07323655028813</v>
      </c>
      <c r="K34" s="10">
        <f>'Data Sheet Grille'!K33*(1+$K$28)</f>
        <v>786.11642897841921</v>
      </c>
    </row>
    <row r="35" spans="2:17" x14ac:dyDescent="0.35">
      <c r="B35" s="21">
        <v>2500</v>
      </c>
      <c r="C35" s="24">
        <f>'Data Sheet Grille'!C34*(1+$K$28)</f>
        <v>673.814081981502</v>
      </c>
      <c r="D35" s="9">
        <f>'Data Sheet Grille'!D34*(1+$K$28)</f>
        <v>689.85727440963308</v>
      </c>
      <c r="E35" s="9">
        <f>'Data Sheet Grille'!E34*(1+$K$28)</f>
        <v>705.90046683776416</v>
      </c>
      <c r="F35" s="9">
        <f>'Data Sheet Grille'!F34*(1+$K$28)</f>
        <v>721.94365926589489</v>
      </c>
      <c r="G35" s="9">
        <f>'Data Sheet Grille'!G34*(1+$K$28)</f>
        <v>737.98685169402609</v>
      </c>
      <c r="H35" s="9">
        <f>'Data Sheet Grille'!H34*(1+$K$28)</f>
        <v>754.03004412215705</v>
      </c>
      <c r="I35" s="9">
        <f>'Data Sheet Grille'!I34*(1+$K$28)</f>
        <v>770.07323655028813</v>
      </c>
      <c r="J35" s="9">
        <f>'Data Sheet Grille'!J34*(1+$K$28)</f>
        <v>786.11642897841921</v>
      </c>
      <c r="K35" s="10">
        <f>'Data Sheet Grille'!K34*(1+$K$28)</f>
        <v>802.15962140655017</v>
      </c>
    </row>
    <row r="36" spans="2:17" ht="15" thickBot="1" x14ac:dyDescent="0.4">
      <c r="B36" s="22">
        <v>2600</v>
      </c>
      <c r="C36" s="11">
        <f>'Data Sheet Grille'!C35*(1+$K$28)</f>
        <v>689.85727440963308</v>
      </c>
      <c r="D36" s="12">
        <f>'Data Sheet Grille'!D35*(1+$K$28)</f>
        <v>705.90046683776416</v>
      </c>
      <c r="E36" s="12">
        <f>'Data Sheet Grille'!E35*(1+$K$28)</f>
        <v>721.94365926589489</v>
      </c>
      <c r="F36" s="12">
        <f>'Data Sheet Grille'!F35*(1+$K$28)</f>
        <v>737.98685169402609</v>
      </c>
      <c r="G36" s="12">
        <f>'Data Sheet Grille'!G35*(1+$K$28)</f>
        <v>754.03004412215705</v>
      </c>
      <c r="H36" s="12">
        <f>'Data Sheet Grille'!H35*(1+$K$28)</f>
        <v>770.07323655028813</v>
      </c>
      <c r="I36" s="12">
        <f>'Data Sheet Grille'!I35*(1+$K$28)</f>
        <v>786.11642897841921</v>
      </c>
      <c r="J36" s="12">
        <f>'Data Sheet Grille'!J35*(1+$K$28)</f>
        <v>802.15962140655017</v>
      </c>
      <c r="K36" s="13">
        <f>'Data Sheet Grille'!K35*(1+$K$28)</f>
        <v>818.20281383468102</v>
      </c>
    </row>
    <row r="37" spans="2:17" ht="7.25" customHeight="1" thickTop="1" thickBot="1" x14ac:dyDescent="0.4"/>
    <row r="38" spans="2:17" ht="15" thickTop="1" x14ac:dyDescent="0.35">
      <c r="C38" s="148" t="s">
        <v>74</v>
      </c>
      <c r="D38" s="149"/>
      <c r="E38" s="149"/>
      <c r="F38" s="152" t="s">
        <v>9</v>
      </c>
      <c r="G38" s="149"/>
      <c r="H38" s="149"/>
      <c r="I38" s="152" t="s">
        <v>10</v>
      </c>
      <c r="J38" s="149"/>
      <c r="K38" s="153"/>
    </row>
    <row r="39" spans="2:17" x14ac:dyDescent="0.35">
      <c r="C39" s="160" t="s">
        <v>11</v>
      </c>
      <c r="D39" s="161"/>
      <c r="E39" s="161"/>
      <c r="F39" s="154">
        <v>110</v>
      </c>
      <c r="G39" s="155"/>
      <c r="H39" s="155"/>
      <c r="I39" s="154">
        <v>134</v>
      </c>
      <c r="J39" s="155"/>
      <c r="K39" s="156"/>
      <c r="P39" s="104"/>
      <c r="Q39" s="104"/>
    </row>
    <row r="40" spans="2:17" x14ac:dyDescent="0.35">
      <c r="C40" s="160" t="s">
        <v>12</v>
      </c>
      <c r="D40" s="161"/>
      <c r="E40" s="161"/>
      <c r="F40" s="154">
        <v>46</v>
      </c>
      <c r="G40" s="155"/>
      <c r="H40" s="155"/>
      <c r="I40" s="154">
        <v>55</v>
      </c>
      <c r="J40" s="155"/>
      <c r="K40" s="156"/>
      <c r="P40" s="104"/>
      <c r="Q40" s="104"/>
    </row>
    <row r="41" spans="2:17" x14ac:dyDescent="0.35">
      <c r="C41" s="160" t="s">
        <v>13</v>
      </c>
      <c r="D41" s="161"/>
      <c r="E41" s="161"/>
      <c r="F41" s="154">
        <v>90</v>
      </c>
      <c r="G41" s="155"/>
      <c r="H41" s="155"/>
      <c r="I41" s="154">
        <v>110</v>
      </c>
      <c r="J41" s="155"/>
      <c r="K41" s="156"/>
      <c r="P41" s="104"/>
      <c r="Q41" s="104"/>
    </row>
    <row r="42" spans="2:17" ht="15" thickBot="1" x14ac:dyDescent="0.4">
      <c r="C42" s="150" t="s">
        <v>14</v>
      </c>
      <c r="D42" s="151"/>
      <c r="E42" s="151"/>
      <c r="F42" s="157">
        <v>145</v>
      </c>
      <c r="G42" s="158"/>
      <c r="H42" s="158"/>
      <c r="I42" s="157">
        <v>176</v>
      </c>
      <c r="J42" s="158"/>
      <c r="K42" s="159"/>
      <c r="P42" s="104"/>
      <c r="Q42" s="104"/>
    </row>
    <row r="43" spans="2:17" ht="15" thickTop="1" x14ac:dyDescent="0.35"/>
    <row r="44" spans="2:17" ht="18.5" x14ac:dyDescent="0.45">
      <c r="B44" s="113" t="s">
        <v>1</v>
      </c>
      <c r="C44" s="113"/>
      <c r="D44" s="113"/>
      <c r="E44" s="113"/>
      <c r="F44" s="113"/>
      <c r="G44" s="113"/>
      <c r="H44" s="113"/>
      <c r="I44" s="113"/>
      <c r="J44" s="113"/>
      <c r="K44" s="113"/>
    </row>
  </sheetData>
  <mergeCells count="35">
    <mergeCell ref="C25:E25"/>
    <mergeCell ref="F25:H25"/>
    <mergeCell ref="I25:K25"/>
    <mergeCell ref="C23:E23"/>
    <mergeCell ref="F23:H23"/>
    <mergeCell ref="I23:K23"/>
    <mergeCell ref="C24:E24"/>
    <mergeCell ref="F24:H24"/>
    <mergeCell ref="I24:K24"/>
    <mergeCell ref="F21:H21"/>
    <mergeCell ref="I21:K21"/>
    <mergeCell ref="C22:E22"/>
    <mergeCell ref="F22:H22"/>
    <mergeCell ref="I22:K22"/>
    <mergeCell ref="F42:H42"/>
    <mergeCell ref="C38:E38"/>
    <mergeCell ref="C39:E39"/>
    <mergeCell ref="C40:E40"/>
    <mergeCell ref="C41:E41"/>
    <mergeCell ref="G2:H2"/>
    <mergeCell ref="B44:K44"/>
    <mergeCell ref="A1:K1"/>
    <mergeCell ref="C29:K29"/>
    <mergeCell ref="C4:K4"/>
    <mergeCell ref="C21:E21"/>
    <mergeCell ref="C42:E42"/>
    <mergeCell ref="I38:K38"/>
    <mergeCell ref="I39:K39"/>
    <mergeCell ref="I40:K40"/>
    <mergeCell ref="I41:K41"/>
    <mergeCell ref="I42:K42"/>
    <mergeCell ref="F38:H38"/>
    <mergeCell ref="F39:H39"/>
    <mergeCell ref="F40:H40"/>
    <mergeCell ref="F41:H41"/>
  </mergeCells>
  <pageMargins left="3.937007874015748E-2" right="3.937007874015748E-2" top="0.23622047244094491" bottom="0.23622047244094491" header="0.11811023622047245" footer="0.11811023622047245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M48"/>
  <sheetViews>
    <sheetView topLeftCell="A13" workbookViewId="0">
      <selection activeCell="C6" sqref="C6:K19"/>
    </sheetView>
  </sheetViews>
  <sheetFormatPr defaultRowHeight="14.5" x14ac:dyDescent="0.35"/>
  <cols>
    <col min="1" max="1" width="8.81640625" customWidth="1"/>
    <col min="2" max="2" width="8.1796875" style="1" customWidth="1"/>
    <col min="3" max="3" width="8.81640625" style="2" customWidth="1"/>
    <col min="4" max="11" width="8.1796875" style="2" customWidth="1"/>
  </cols>
  <sheetData>
    <row r="1" spans="1:13" ht="33.5" x14ac:dyDescent="0.75">
      <c r="A1" s="105" t="s">
        <v>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3" ht="23.5" x14ac:dyDescent="0.55000000000000004">
      <c r="A2" s="162" t="s">
        <v>70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3" ht="11" customHeight="1" thickBot="1" x14ac:dyDescent="0.4"/>
    <row r="4" spans="1:13" ht="24" thickTop="1" x14ac:dyDescent="0.55000000000000004">
      <c r="C4" s="122" t="s">
        <v>2</v>
      </c>
      <c r="D4" s="127"/>
      <c r="E4" s="127"/>
      <c r="F4" s="127"/>
      <c r="G4" s="127"/>
      <c r="H4" s="127"/>
      <c r="I4" s="127"/>
      <c r="J4" s="127"/>
      <c r="K4" s="128"/>
    </row>
    <row r="5" spans="1:13" ht="15" thickBot="1" x14ac:dyDescent="0.4">
      <c r="B5" s="4"/>
      <c r="C5" s="17">
        <v>300</v>
      </c>
      <c r="D5" s="18">
        <v>450</v>
      </c>
      <c r="E5" s="18">
        <v>600</v>
      </c>
      <c r="F5" s="18">
        <v>750</v>
      </c>
      <c r="G5" s="18">
        <v>900</v>
      </c>
      <c r="H5" s="18">
        <v>1050</v>
      </c>
      <c r="I5" s="18">
        <v>1200</v>
      </c>
      <c r="J5" s="18">
        <v>1350</v>
      </c>
      <c r="K5" s="19">
        <v>1500</v>
      </c>
    </row>
    <row r="6" spans="1:13" ht="15" thickTop="1" x14ac:dyDescent="0.35">
      <c r="B6" s="20">
        <v>600</v>
      </c>
      <c r="C6" s="5">
        <v>90</v>
      </c>
      <c r="D6" s="9">
        <v>90</v>
      </c>
      <c r="E6" s="9">
        <v>90</v>
      </c>
      <c r="F6" s="6">
        <v>90</v>
      </c>
      <c r="G6" s="6">
        <v>107.13924961740001</v>
      </c>
      <c r="H6" s="6">
        <v>124.99579122030002</v>
      </c>
      <c r="I6" s="6">
        <v>142.85233282320002</v>
      </c>
      <c r="J6" s="6">
        <v>160.70887442610001</v>
      </c>
      <c r="K6" s="7">
        <v>178.56541602900006</v>
      </c>
    </row>
    <row r="7" spans="1:13" x14ac:dyDescent="0.35">
      <c r="B7" s="21">
        <v>750</v>
      </c>
      <c r="C7" s="8">
        <v>90</v>
      </c>
      <c r="D7" s="9">
        <v>90</v>
      </c>
      <c r="E7" s="9">
        <v>90</v>
      </c>
      <c r="F7" s="9">
        <v>111.60338501812501</v>
      </c>
      <c r="G7" s="9">
        <v>133.92406202175002</v>
      </c>
      <c r="H7" s="9">
        <v>156.24473902537505</v>
      </c>
      <c r="I7" s="9">
        <v>178.56541602900006</v>
      </c>
      <c r="J7" s="9">
        <v>200.88609303262501</v>
      </c>
      <c r="K7" s="10">
        <v>223.20677003625002</v>
      </c>
    </row>
    <row r="8" spans="1:13" x14ac:dyDescent="0.35">
      <c r="B8" s="21">
        <v>900</v>
      </c>
      <c r="C8" s="8">
        <v>90</v>
      </c>
      <c r="D8" s="9">
        <v>90</v>
      </c>
      <c r="E8" s="9">
        <v>107.13924961740001</v>
      </c>
      <c r="F8" s="9">
        <v>133.92406202175002</v>
      </c>
      <c r="G8" s="9">
        <v>160.70887442610001</v>
      </c>
      <c r="H8" s="9">
        <v>187.49368683045003</v>
      </c>
      <c r="I8" s="9">
        <v>214.27849923480002</v>
      </c>
      <c r="J8" s="9">
        <v>241.06331163915007</v>
      </c>
      <c r="K8" s="10">
        <v>267.84812404350004</v>
      </c>
      <c r="M8" t="s">
        <v>30</v>
      </c>
    </row>
    <row r="9" spans="1:13" x14ac:dyDescent="0.35">
      <c r="B9" s="21">
        <v>1050</v>
      </c>
      <c r="C9" s="8">
        <v>90</v>
      </c>
      <c r="D9" s="9">
        <v>93.746843415225015</v>
      </c>
      <c r="E9" s="9">
        <v>124.99579122030002</v>
      </c>
      <c r="F9" s="9">
        <v>156.24473902537505</v>
      </c>
      <c r="G9" s="9">
        <v>187.49368683045003</v>
      </c>
      <c r="H9" s="9">
        <v>218.74263463552506</v>
      </c>
      <c r="I9" s="9">
        <v>249.99158244060004</v>
      </c>
      <c r="J9" s="9">
        <v>281.24053024567502</v>
      </c>
      <c r="K9" s="10">
        <v>312.48947805075011</v>
      </c>
    </row>
    <row r="10" spans="1:13" x14ac:dyDescent="0.35">
      <c r="B10" s="21">
        <v>1200</v>
      </c>
      <c r="C10" s="8">
        <v>90</v>
      </c>
      <c r="D10" s="9">
        <v>107.13924961740001</v>
      </c>
      <c r="E10" s="9">
        <v>142.85233282320002</v>
      </c>
      <c r="F10" s="9">
        <v>178.56541602900006</v>
      </c>
      <c r="G10" s="9">
        <v>214.27849923480002</v>
      </c>
      <c r="H10" s="9">
        <v>249.99158244060004</v>
      </c>
      <c r="I10" s="9">
        <v>285.70466564640003</v>
      </c>
      <c r="J10" s="9">
        <v>321.41774885220002</v>
      </c>
      <c r="K10" s="10">
        <v>357.13083205800012</v>
      </c>
    </row>
    <row r="11" spans="1:13" x14ac:dyDescent="0.35">
      <c r="B11" s="21">
        <v>1350</v>
      </c>
      <c r="C11" s="8">
        <v>90</v>
      </c>
      <c r="D11" s="9">
        <v>120.53165581957504</v>
      </c>
      <c r="E11" s="9">
        <v>160.70887442610001</v>
      </c>
      <c r="F11" s="9">
        <v>200.88609303262501</v>
      </c>
      <c r="G11" s="9">
        <v>241.06331163915007</v>
      </c>
      <c r="H11" s="9">
        <v>281.24053024567502</v>
      </c>
      <c r="I11" s="9">
        <v>321.41774885220002</v>
      </c>
      <c r="J11" s="9">
        <v>361.59496745872502</v>
      </c>
      <c r="K11" s="10">
        <v>401.77218606525003</v>
      </c>
    </row>
    <row r="12" spans="1:13" x14ac:dyDescent="0.35">
      <c r="B12" s="21">
        <v>1500</v>
      </c>
      <c r="C12" s="8">
        <v>90</v>
      </c>
      <c r="D12" s="9">
        <v>133.92406202175002</v>
      </c>
      <c r="E12" s="9">
        <v>178.56541602900006</v>
      </c>
      <c r="F12" s="9">
        <v>223.20677003625002</v>
      </c>
      <c r="G12" s="9">
        <v>267.84812404350004</v>
      </c>
      <c r="H12" s="9">
        <v>312.48947805075011</v>
      </c>
      <c r="I12" s="9">
        <v>357.13083205800012</v>
      </c>
      <c r="J12" s="9">
        <v>401.77218606525003</v>
      </c>
      <c r="K12" s="10">
        <v>446.41354007250004</v>
      </c>
    </row>
    <row r="13" spans="1:13" x14ac:dyDescent="0.35">
      <c r="B13" s="21">
        <v>1650</v>
      </c>
      <c r="C13" s="8">
        <v>90</v>
      </c>
      <c r="D13" s="9">
        <v>147.31646822392503</v>
      </c>
      <c r="E13" s="9">
        <v>196.42195763190003</v>
      </c>
      <c r="F13" s="9">
        <v>245.52744703987503</v>
      </c>
      <c r="G13" s="9">
        <v>294.63293644785006</v>
      </c>
      <c r="H13" s="9">
        <v>343.73842585582503</v>
      </c>
      <c r="I13" s="9">
        <v>392.84391526380006</v>
      </c>
      <c r="J13" s="9">
        <v>441.94940467177503</v>
      </c>
      <c r="K13" s="10">
        <v>491.05489407975006</v>
      </c>
    </row>
    <row r="14" spans="1:13" x14ac:dyDescent="0.35">
      <c r="B14" s="21">
        <v>1800</v>
      </c>
      <c r="C14" s="8">
        <v>107.13924961740001</v>
      </c>
      <c r="D14" s="9">
        <v>160.70887442610001</v>
      </c>
      <c r="E14" s="9">
        <v>214.27849923480002</v>
      </c>
      <c r="F14" s="9">
        <v>267.84812404350004</v>
      </c>
      <c r="G14" s="9">
        <v>321.41774885220002</v>
      </c>
      <c r="H14" s="9">
        <v>374.98737366090006</v>
      </c>
      <c r="I14" s="9">
        <v>428.55699846960005</v>
      </c>
      <c r="J14" s="9">
        <v>482.12662327830014</v>
      </c>
      <c r="K14" s="10">
        <v>535.69624808700007</v>
      </c>
    </row>
    <row r="15" spans="1:13" x14ac:dyDescent="0.35">
      <c r="B15" s="21">
        <v>1950</v>
      </c>
      <c r="C15" s="8">
        <v>116.06752041884999</v>
      </c>
      <c r="D15" s="9">
        <v>174.10128062827502</v>
      </c>
      <c r="E15" s="9">
        <v>232.13504083769999</v>
      </c>
      <c r="F15" s="9">
        <v>290.16880104712504</v>
      </c>
      <c r="G15" s="9">
        <v>348.20256125655004</v>
      </c>
      <c r="H15" s="9">
        <v>406.2363214659751</v>
      </c>
      <c r="I15" s="9">
        <v>464.27008167539998</v>
      </c>
      <c r="J15" s="9">
        <v>522.30384188482503</v>
      </c>
      <c r="K15" s="10">
        <v>580.33760209425009</v>
      </c>
    </row>
    <row r="16" spans="1:13" x14ac:dyDescent="0.35">
      <c r="B16" s="21">
        <v>2100</v>
      </c>
      <c r="C16" s="8">
        <v>124.99579122030002</v>
      </c>
      <c r="D16" s="9">
        <v>187.49368683045003</v>
      </c>
      <c r="E16" s="9">
        <v>249.99158244060004</v>
      </c>
      <c r="F16" s="9">
        <v>312.48947805075011</v>
      </c>
      <c r="G16" s="9">
        <v>374.98737366090006</v>
      </c>
      <c r="H16" s="9">
        <v>437.48526927105013</v>
      </c>
      <c r="I16" s="9">
        <v>499.98316488120008</v>
      </c>
      <c r="J16" s="9">
        <v>562.48106049135004</v>
      </c>
      <c r="K16" s="10">
        <v>624.97895610150022</v>
      </c>
    </row>
    <row r="17" spans="2:11" x14ac:dyDescent="0.35">
      <c r="B17" s="21">
        <v>2250</v>
      </c>
      <c r="C17" s="8">
        <v>133.92406202175002</v>
      </c>
      <c r="D17" s="9">
        <v>200.88609303262501</v>
      </c>
      <c r="E17" s="9">
        <v>267.84812404350004</v>
      </c>
      <c r="F17" s="9">
        <v>334.810155054375</v>
      </c>
      <c r="G17" s="9">
        <v>401.77218606525003</v>
      </c>
      <c r="H17" s="9">
        <v>468.73421707612499</v>
      </c>
      <c r="I17" s="9">
        <v>535.69624808700007</v>
      </c>
      <c r="J17" s="9">
        <v>602.65827909787515</v>
      </c>
      <c r="K17" s="10">
        <v>669.62031010875</v>
      </c>
    </row>
    <row r="18" spans="2:11" x14ac:dyDescent="0.35">
      <c r="B18" s="21">
        <v>2400</v>
      </c>
      <c r="C18" s="8">
        <v>142.85233282320002</v>
      </c>
      <c r="D18" s="9">
        <v>214.27849923480002</v>
      </c>
      <c r="E18" s="9">
        <v>285.70466564640003</v>
      </c>
      <c r="F18" s="9">
        <v>357.13083205800012</v>
      </c>
      <c r="G18" s="9">
        <v>428.55699846960005</v>
      </c>
      <c r="H18" s="9">
        <v>499.98316488120008</v>
      </c>
      <c r="I18" s="9">
        <v>571.40933129280006</v>
      </c>
      <c r="J18" s="9">
        <v>642.83549770440004</v>
      </c>
      <c r="K18" s="10">
        <v>714.26166411600025</v>
      </c>
    </row>
    <row r="19" spans="2:11" ht="15" thickBot="1" x14ac:dyDescent="0.4">
      <c r="B19" s="22">
        <v>2550</v>
      </c>
      <c r="C19" s="11">
        <v>151.78060362465001</v>
      </c>
      <c r="D19" s="12">
        <v>227.67090543697503</v>
      </c>
      <c r="E19" s="12">
        <v>303.56120724930003</v>
      </c>
      <c r="F19" s="12">
        <v>379.45150906162507</v>
      </c>
      <c r="G19" s="12">
        <v>455.34181087395007</v>
      </c>
      <c r="H19" s="12">
        <v>531.23211268627506</v>
      </c>
      <c r="I19" s="12">
        <v>607.12241449860005</v>
      </c>
      <c r="J19" s="12">
        <v>683.01271631092516</v>
      </c>
      <c r="K19" s="13">
        <v>758.90301812325015</v>
      </c>
    </row>
    <row r="20" spans="2:11" ht="9" customHeight="1" thickTop="1" thickBot="1" x14ac:dyDescent="0.4"/>
    <row r="21" spans="2:11" ht="15" thickTop="1" x14ac:dyDescent="0.35">
      <c r="C21" s="148" t="s">
        <v>27</v>
      </c>
      <c r="D21" s="149"/>
      <c r="E21" s="149"/>
      <c r="F21" s="152" t="s">
        <v>28</v>
      </c>
      <c r="G21" s="149"/>
      <c r="H21" s="149"/>
      <c r="I21" s="152" t="s">
        <v>29</v>
      </c>
      <c r="J21" s="149"/>
      <c r="K21" s="153"/>
    </row>
    <row r="22" spans="2:11" x14ac:dyDescent="0.35">
      <c r="C22" s="160" t="s">
        <v>11</v>
      </c>
      <c r="D22" s="161"/>
      <c r="E22" s="161"/>
      <c r="F22" s="163">
        <v>65</v>
      </c>
      <c r="G22" s="164"/>
      <c r="H22" s="165"/>
      <c r="I22" s="163">
        <v>88</v>
      </c>
      <c r="J22" s="164"/>
      <c r="K22" s="166"/>
    </row>
    <row r="23" spans="2:11" x14ac:dyDescent="0.35">
      <c r="C23" s="160" t="s">
        <v>12</v>
      </c>
      <c r="D23" s="161"/>
      <c r="E23" s="161"/>
      <c r="F23" s="163">
        <v>20</v>
      </c>
      <c r="G23" s="164"/>
      <c r="H23" s="165"/>
      <c r="I23" s="163">
        <v>30</v>
      </c>
      <c r="J23" s="164"/>
      <c r="K23" s="166"/>
    </row>
    <row r="24" spans="2:11" x14ac:dyDescent="0.35">
      <c r="C24" s="160" t="s">
        <v>13</v>
      </c>
      <c r="D24" s="161"/>
      <c r="E24" s="161"/>
      <c r="F24" s="163">
        <v>43</v>
      </c>
      <c r="G24" s="164"/>
      <c r="H24" s="165"/>
      <c r="I24" s="163">
        <v>62</v>
      </c>
      <c r="J24" s="164"/>
      <c r="K24" s="166"/>
    </row>
    <row r="25" spans="2:11" ht="15" thickBot="1" x14ac:dyDescent="0.4">
      <c r="C25" s="150" t="s">
        <v>14</v>
      </c>
      <c r="D25" s="151"/>
      <c r="E25" s="151"/>
      <c r="F25" s="167">
        <v>69</v>
      </c>
      <c r="G25" s="168"/>
      <c r="H25" s="169"/>
      <c r="I25" s="167">
        <v>92</v>
      </c>
      <c r="J25" s="168"/>
      <c r="K25" s="170"/>
    </row>
    <row r="26" spans="2:11" ht="15" thickTop="1" x14ac:dyDescent="0.35"/>
    <row r="27" spans="2:11" ht="15" thickBot="1" x14ac:dyDescent="0.4"/>
    <row r="28" spans="2:11" ht="24" thickTop="1" x14ac:dyDescent="0.55000000000000004">
      <c r="C28" s="122" t="s">
        <v>3</v>
      </c>
      <c r="D28" s="127"/>
      <c r="E28" s="127"/>
      <c r="F28" s="127"/>
      <c r="G28" s="127"/>
      <c r="H28" s="127"/>
      <c r="I28" s="127"/>
      <c r="J28" s="127"/>
      <c r="K28" s="128"/>
    </row>
    <row r="29" spans="2:11" ht="15" thickBot="1" x14ac:dyDescent="0.4">
      <c r="C29" s="17">
        <v>800</v>
      </c>
      <c r="D29" s="18">
        <v>900</v>
      </c>
      <c r="E29" s="18">
        <v>1000</v>
      </c>
      <c r="F29" s="18">
        <v>1100</v>
      </c>
      <c r="G29" s="18">
        <v>1200</v>
      </c>
      <c r="H29" s="18">
        <v>1300</v>
      </c>
      <c r="I29" s="18">
        <v>1400</v>
      </c>
      <c r="J29" s="18">
        <v>1500</v>
      </c>
      <c r="K29" s="19">
        <v>1600</v>
      </c>
    </row>
    <row r="30" spans="2:11" ht="15" thickTop="1" x14ac:dyDescent="0.35">
      <c r="B30" s="20">
        <v>2100</v>
      </c>
      <c r="C30" s="5">
        <v>537.50776958999995</v>
      </c>
      <c r="D30" s="23">
        <v>551.65271089499993</v>
      </c>
      <c r="E30" s="23">
        <v>565.79765220000002</v>
      </c>
      <c r="F30" s="23">
        <v>579.94259350499999</v>
      </c>
      <c r="G30" s="23">
        <v>594.08753480999997</v>
      </c>
      <c r="H30" s="23">
        <v>608.23247611500005</v>
      </c>
      <c r="I30" s="23">
        <v>622.37741742000014</v>
      </c>
      <c r="J30" s="23">
        <v>636.52235872499989</v>
      </c>
      <c r="K30" s="7">
        <v>650.66730003000009</v>
      </c>
    </row>
    <row r="31" spans="2:11" x14ac:dyDescent="0.35">
      <c r="B31" s="21">
        <v>2200</v>
      </c>
      <c r="C31" s="24">
        <v>551.65271089499993</v>
      </c>
      <c r="D31" s="9">
        <v>565.79765220000002</v>
      </c>
      <c r="E31" s="9">
        <v>579.94259350499999</v>
      </c>
      <c r="F31" s="9">
        <v>594.08753480999997</v>
      </c>
      <c r="G31" s="9">
        <v>608.23247611500005</v>
      </c>
      <c r="H31" s="9">
        <v>622.37741742000014</v>
      </c>
      <c r="I31" s="9">
        <v>636.52235872499989</v>
      </c>
      <c r="J31" s="9">
        <v>650.66730003000009</v>
      </c>
      <c r="K31" s="10">
        <v>664.81224133499995</v>
      </c>
    </row>
    <row r="32" spans="2:11" x14ac:dyDescent="0.35">
      <c r="B32" s="21">
        <v>2300</v>
      </c>
      <c r="C32" s="24">
        <v>565.79765220000002</v>
      </c>
      <c r="D32" s="9">
        <v>579.94259350499999</v>
      </c>
      <c r="E32" s="9">
        <v>594.08753480999997</v>
      </c>
      <c r="F32" s="9">
        <v>608.23247611500005</v>
      </c>
      <c r="G32" s="9">
        <v>622.37741742000014</v>
      </c>
      <c r="H32" s="9">
        <v>636.52235872499989</v>
      </c>
      <c r="I32" s="9">
        <v>650.66730003000009</v>
      </c>
      <c r="J32" s="9">
        <v>664.81224133499995</v>
      </c>
      <c r="K32" s="10">
        <v>678.95718264000004</v>
      </c>
    </row>
    <row r="33" spans="2:11" x14ac:dyDescent="0.35">
      <c r="B33" s="21">
        <v>2400</v>
      </c>
      <c r="C33" s="24">
        <v>579.94259350499999</v>
      </c>
      <c r="D33" s="9">
        <v>594.08753480999997</v>
      </c>
      <c r="E33" s="9">
        <v>608.23247611500005</v>
      </c>
      <c r="F33" s="9">
        <v>622.37741742000014</v>
      </c>
      <c r="G33" s="9">
        <v>636.52235872499989</v>
      </c>
      <c r="H33" s="9">
        <v>650.66730003000009</v>
      </c>
      <c r="I33" s="9">
        <v>664.81224133499995</v>
      </c>
      <c r="J33" s="9">
        <v>678.95718264000004</v>
      </c>
      <c r="K33" s="10">
        <v>693.10212394500013</v>
      </c>
    </row>
    <row r="34" spans="2:11" x14ac:dyDescent="0.35">
      <c r="B34" s="21">
        <v>2500</v>
      </c>
      <c r="C34" s="24">
        <v>594.08753480999997</v>
      </c>
      <c r="D34" s="9">
        <v>608.23247611500005</v>
      </c>
      <c r="E34" s="9">
        <v>622.37741742000014</v>
      </c>
      <c r="F34" s="9">
        <v>636.52235872499989</v>
      </c>
      <c r="G34" s="9">
        <v>650.66730003000009</v>
      </c>
      <c r="H34" s="9">
        <v>664.81224133499995</v>
      </c>
      <c r="I34" s="9">
        <v>678.95718264000004</v>
      </c>
      <c r="J34" s="9">
        <v>693.10212394500013</v>
      </c>
      <c r="K34" s="10">
        <v>707.24706525000011</v>
      </c>
    </row>
    <row r="35" spans="2:11" ht="15" thickBot="1" x14ac:dyDescent="0.4">
      <c r="B35" s="22">
        <v>2600</v>
      </c>
      <c r="C35" s="11">
        <v>608.23247611500005</v>
      </c>
      <c r="D35" s="12">
        <v>622.37741742000014</v>
      </c>
      <c r="E35" s="12">
        <v>636.52235872499989</v>
      </c>
      <c r="F35" s="12">
        <v>650.66730003000009</v>
      </c>
      <c r="G35" s="12">
        <v>664.81224133499995</v>
      </c>
      <c r="H35" s="12">
        <v>678.95718264000004</v>
      </c>
      <c r="I35" s="12">
        <v>693.10212394500013</v>
      </c>
      <c r="J35" s="12">
        <v>707.24706525000011</v>
      </c>
      <c r="K35" s="13">
        <v>721.39200655499997</v>
      </c>
    </row>
    <row r="36" spans="2:11" ht="7.25" customHeight="1" thickTop="1" thickBot="1" x14ac:dyDescent="0.4"/>
    <row r="37" spans="2:11" ht="15" thickTop="1" x14ac:dyDescent="0.35">
      <c r="C37" s="148" t="s">
        <v>8</v>
      </c>
      <c r="D37" s="149"/>
      <c r="E37" s="149"/>
      <c r="F37" s="152" t="s">
        <v>9</v>
      </c>
      <c r="G37" s="149"/>
      <c r="H37" s="149"/>
      <c r="I37" s="152" t="s">
        <v>10</v>
      </c>
      <c r="J37" s="149"/>
      <c r="K37" s="153"/>
    </row>
    <row r="38" spans="2:11" x14ac:dyDescent="0.35">
      <c r="C38" s="160" t="s">
        <v>11</v>
      </c>
      <c r="D38" s="161"/>
      <c r="E38" s="161"/>
      <c r="F38" s="154">
        <v>102</v>
      </c>
      <c r="G38" s="155"/>
      <c r="H38" s="155"/>
      <c r="I38" s="154">
        <v>125</v>
      </c>
      <c r="J38" s="155"/>
      <c r="K38" s="156"/>
    </row>
    <row r="39" spans="2:11" x14ac:dyDescent="0.35">
      <c r="C39" s="160" t="s">
        <v>12</v>
      </c>
      <c r="D39" s="161"/>
      <c r="E39" s="161"/>
      <c r="F39" s="154">
        <v>43</v>
      </c>
      <c r="G39" s="155"/>
      <c r="H39" s="155"/>
      <c r="I39" s="154">
        <v>51</v>
      </c>
      <c r="J39" s="155"/>
      <c r="K39" s="156"/>
    </row>
    <row r="40" spans="2:11" x14ac:dyDescent="0.35">
      <c r="C40" s="160" t="s">
        <v>13</v>
      </c>
      <c r="D40" s="161"/>
      <c r="E40" s="161"/>
      <c r="F40" s="154">
        <v>84</v>
      </c>
      <c r="G40" s="155"/>
      <c r="H40" s="155"/>
      <c r="I40" s="154">
        <v>102</v>
      </c>
      <c r="J40" s="155"/>
      <c r="K40" s="156"/>
    </row>
    <row r="41" spans="2:11" ht="15" thickBot="1" x14ac:dyDescent="0.4">
      <c r="C41" s="150" t="s">
        <v>14</v>
      </c>
      <c r="D41" s="151"/>
      <c r="E41" s="151"/>
      <c r="F41" s="157">
        <v>135</v>
      </c>
      <c r="G41" s="158"/>
      <c r="H41" s="158"/>
      <c r="I41" s="157">
        <v>165</v>
      </c>
      <c r="J41" s="158"/>
      <c r="K41" s="159"/>
    </row>
    <row r="42" spans="2:11" ht="15.5" thickTop="1" thickBot="1" x14ac:dyDescent="0.4"/>
    <row r="43" spans="2:11" ht="15" thickTop="1" x14ac:dyDescent="0.35">
      <c r="B43" s="148" t="s">
        <v>15</v>
      </c>
      <c r="C43" s="171"/>
      <c r="D43" s="171"/>
      <c r="E43" s="171"/>
      <c r="F43" s="171"/>
      <c r="G43" s="171"/>
      <c r="H43" s="171"/>
      <c r="I43" s="171"/>
      <c r="J43" s="171"/>
      <c r="K43" s="172"/>
    </row>
    <row r="44" spans="2:11" x14ac:dyDescent="0.35">
      <c r="B44" s="173" t="s">
        <v>16</v>
      </c>
      <c r="C44" s="174"/>
      <c r="D44" s="174" t="s">
        <v>17</v>
      </c>
      <c r="E44" s="174"/>
      <c r="F44" s="174" t="s">
        <v>18</v>
      </c>
      <c r="G44" s="174"/>
      <c r="H44" s="174" t="s">
        <v>19</v>
      </c>
      <c r="I44" s="174"/>
      <c r="J44" s="174" t="s">
        <v>20</v>
      </c>
      <c r="K44" s="175"/>
    </row>
    <row r="45" spans="2:11" x14ac:dyDescent="0.35">
      <c r="B45" s="173" t="s">
        <v>21</v>
      </c>
      <c r="C45" s="174"/>
      <c r="D45" s="174" t="s">
        <v>22</v>
      </c>
      <c r="E45" s="174"/>
      <c r="F45" s="174" t="s">
        <v>22</v>
      </c>
      <c r="G45" s="174"/>
      <c r="H45" s="174" t="s">
        <v>23</v>
      </c>
      <c r="I45" s="174"/>
      <c r="J45" s="174" t="s">
        <v>24</v>
      </c>
      <c r="K45" s="175"/>
    </row>
    <row r="46" spans="2:11" ht="15" thickBot="1" x14ac:dyDescent="0.4">
      <c r="B46" s="176" t="s">
        <v>25</v>
      </c>
      <c r="C46" s="177"/>
      <c r="D46" s="177" t="s">
        <v>26</v>
      </c>
      <c r="E46" s="177"/>
      <c r="F46" s="177"/>
      <c r="G46" s="177"/>
      <c r="H46" s="177"/>
      <c r="I46" s="177"/>
      <c r="J46" s="177"/>
      <c r="K46" s="178"/>
    </row>
    <row r="47" spans="2:11" ht="15" thickTop="1" x14ac:dyDescent="0.35"/>
    <row r="48" spans="2:11" ht="18.5" x14ac:dyDescent="0.45">
      <c r="B48" s="113" t="s">
        <v>1</v>
      </c>
      <c r="C48" s="113"/>
      <c r="D48" s="113"/>
      <c r="E48" s="113"/>
      <c r="F48" s="113"/>
      <c r="G48" s="113"/>
      <c r="H48" s="113"/>
      <c r="I48" s="113"/>
      <c r="J48" s="113"/>
      <c r="K48" s="113"/>
    </row>
  </sheetData>
  <mergeCells count="51">
    <mergeCell ref="B48:K48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C41:E41"/>
    <mergeCell ref="F41:H41"/>
    <mergeCell ref="I41:K41"/>
    <mergeCell ref="B43:K43"/>
    <mergeCell ref="B44:C44"/>
    <mergeCell ref="D44:E44"/>
    <mergeCell ref="F44:G44"/>
    <mergeCell ref="H44:I44"/>
    <mergeCell ref="J44:K44"/>
    <mergeCell ref="C39:E39"/>
    <mergeCell ref="F39:H39"/>
    <mergeCell ref="I39:K39"/>
    <mergeCell ref="C40:E40"/>
    <mergeCell ref="F40:H40"/>
    <mergeCell ref="I40:K40"/>
    <mergeCell ref="C28:K28"/>
    <mergeCell ref="C37:E37"/>
    <mergeCell ref="F37:H37"/>
    <mergeCell ref="I37:K37"/>
    <mergeCell ref="C38:E38"/>
    <mergeCell ref="F38:H38"/>
    <mergeCell ref="I38:K38"/>
    <mergeCell ref="C24:E24"/>
    <mergeCell ref="F24:H24"/>
    <mergeCell ref="I24:K24"/>
    <mergeCell ref="C25:E25"/>
    <mergeCell ref="F25:H25"/>
    <mergeCell ref="I25:K25"/>
    <mergeCell ref="C22:E22"/>
    <mergeCell ref="F22:H22"/>
    <mergeCell ref="I22:K22"/>
    <mergeCell ref="C23:E23"/>
    <mergeCell ref="F23:H23"/>
    <mergeCell ref="I23:K23"/>
    <mergeCell ref="A1:K1"/>
    <mergeCell ref="C4:K4"/>
    <mergeCell ref="C21:E21"/>
    <mergeCell ref="F21:H21"/>
    <mergeCell ref="I21:K21"/>
    <mergeCell ref="A2:K2"/>
  </mergeCells>
  <pageMargins left="3.937007874015748E-2" right="3.937007874015748E-2" top="0.23622047244094491" bottom="0.23622047244094491" header="0.11811023622047245" footer="0.11811023622047245"/>
  <pageSetup paperSize="9" scale="93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K47"/>
  <sheetViews>
    <sheetView workbookViewId="0">
      <selection activeCell="N5" sqref="N5"/>
    </sheetView>
  </sheetViews>
  <sheetFormatPr defaultRowHeight="14.5" x14ac:dyDescent="0.35"/>
  <cols>
    <col min="1" max="1" width="8.54296875" customWidth="1"/>
    <col min="2" max="2" width="7.54296875" style="1" customWidth="1"/>
    <col min="3" max="3" width="8.90625" style="2" customWidth="1"/>
    <col min="4" max="11" width="8.1796875" style="2" customWidth="1"/>
  </cols>
  <sheetData>
    <row r="1" spans="1:11" ht="33.5" x14ac:dyDescent="0.75">
      <c r="A1" s="105" t="s">
        <v>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x14ac:dyDescent="0.35">
      <c r="B2" s="15"/>
      <c r="C2" s="16"/>
      <c r="F2" s="3" t="s">
        <v>0</v>
      </c>
      <c r="G2" s="106">
        <v>46159</v>
      </c>
      <c r="H2" s="107"/>
      <c r="K2" s="32">
        <v>6.5000000000000002E-2</v>
      </c>
    </row>
    <row r="3" spans="1:11" ht="11" customHeight="1" thickBot="1" x14ac:dyDescent="0.4"/>
    <row r="4" spans="1:11" ht="24" thickTop="1" x14ac:dyDescent="0.55000000000000004">
      <c r="C4" s="179" t="s">
        <v>5</v>
      </c>
      <c r="D4" s="180"/>
      <c r="E4" s="180"/>
      <c r="F4" s="180"/>
      <c r="G4" s="180"/>
      <c r="H4" s="180"/>
      <c r="I4" s="180"/>
      <c r="J4" s="180"/>
      <c r="K4" s="181"/>
    </row>
    <row r="5" spans="1:11" ht="15" thickBot="1" x14ac:dyDescent="0.4">
      <c r="B5" s="4"/>
      <c r="C5" s="29">
        <v>1200</v>
      </c>
      <c r="D5" s="30">
        <v>1500</v>
      </c>
      <c r="E5" s="30">
        <v>1800</v>
      </c>
      <c r="F5" s="30">
        <v>2100</v>
      </c>
      <c r="G5" s="30">
        <v>2400</v>
      </c>
      <c r="H5" s="30">
        <v>2700</v>
      </c>
      <c r="I5" s="30">
        <v>3000</v>
      </c>
      <c r="J5" s="30"/>
      <c r="K5" s="31"/>
    </row>
    <row r="6" spans="1:11" ht="15" thickTop="1" x14ac:dyDescent="0.35">
      <c r="B6" s="25">
        <v>1500</v>
      </c>
      <c r="C6" s="5">
        <f>'DATA_Fly Screens'!C6*(1+'Fly Screens'!$K$2)</f>
        <v>89.561281499999993</v>
      </c>
      <c r="D6" s="23">
        <f>'DATA_Fly Screens'!D6*(1+'Fly Screens'!$K$2)</f>
        <v>111.95160187499999</v>
      </c>
      <c r="E6" s="23">
        <f>'DATA_Fly Screens'!E6*(1+'Fly Screens'!$K$2)</f>
        <v>134.34192225000001</v>
      </c>
      <c r="F6" s="23">
        <f>'DATA_Fly Screens'!F6*(1+'Fly Screens'!$K$2)</f>
        <v>156.732242625</v>
      </c>
      <c r="G6" s="23">
        <f>'DATA_Fly Screens'!G6*(1+'Fly Screens'!$K$2)</f>
        <v>179.12256299999999</v>
      </c>
      <c r="H6" s="23">
        <f>'DATA_Fly Screens'!H6*(1+'Fly Screens'!$K$2)</f>
        <v>201.51288337499997</v>
      </c>
      <c r="I6" s="23">
        <f>'DATA_Fly Screens'!I6*(1+'Fly Screens'!$K$2)</f>
        <v>223.90320374999999</v>
      </c>
      <c r="J6" s="57"/>
      <c r="K6" s="7"/>
    </row>
    <row r="7" spans="1:11" x14ac:dyDescent="0.35">
      <c r="B7" s="26">
        <v>1800</v>
      </c>
      <c r="C7" s="24">
        <f>'DATA_Fly Screens'!C7*(1+'Fly Screens'!$K$2)</f>
        <v>107.47353779999999</v>
      </c>
      <c r="D7" s="9">
        <f>'DATA_Fly Screens'!D7*(1+'Fly Screens'!$K$2)</f>
        <v>134.34192225000001</v>
      </c>
      <c r="E7" s="9">
        <f>'DATA_Fly Screens'!E7*(1+'Fly Screens'!$K$2)</f>
        <v>161.21030669999999</v>
      </c>
      <c r="F7" s="9">
        <f>'DATA_Fly Screens'!F7*(1+'Fly Screens'!$K$2)</f>
        <v>188.07869114999997</v>
      </c>
      <c r="G7" s="9">
        <f>'DATA_Fly Screens'!G7*(1+'Fly Screens'!$K$2)</f>
        <v>214.94707559999998</v>
      </c>
      <c r="H7" s="9">
        <f>'DATA_Fly Screens'!H7*(1+'Fly Screens'!$K$2)</f>
        <v>241.81546005000001</v>
      </c>
      <c r="I7" s="9">
        <f>'DATA_Fly Screens'!I7*(1+'Fly Screens'!$K$2)</f>
        <v>268.68384450000002</v>
      </c>
      <c r="J7" s="80"/>
      <c r="K7" s="10"/>
    </row>
    <row r="8" spans="1:11" x14ac:dyDescent="0.35">
      <c r="B8" s="27">
        <v>2100</v>
      </c>
      <c r="C8" s="24">
        <f>'DATA_Fly Screens'!C8*(1+'Fly Screens'!$K$2)</f>
        <v>125.3857941</v>
      </c>
      <c r="D8" s="9">
        <f>'DATA_Fly Screens'!D8*(1+'Fly Screens'!$K$2)</f>
        <v>156.732242625</v>
      </c>
      <c r="E8" s="9">
        <f>'DATA_Fly Screens'!E8*(1+'Fly Screens'!$K$2)</f>
        <v>188.07869114999997</v>
      </c>
      <c r="F8" s="9">
        <f>'DATA_Fly Screens'!F8*(1+'Fly Screens'!$K$2)</f>
        <v>219.425139675</v>
      </c>
      <c r="G8" s="9">
        <f>'DATA_Fly Screens'!G8*(1+'Fly Screens'!$K$2)</f>
        <v>250.7715882</v>
      </c>
      <c r="H8" s="9">
        <f>'DATA_Fly Screens'!H8*(1+'Fly Screens'!$K$2)</f>
        <v>282.11803672499997</v>
      </c>
      <c r="I8" s="9">
        <f>'DATA_Fly Screens'!I8*(1+'Fly Screens'!$K$2)</f>
        <v>313.46448525</v>
      </c>
      <c r="J8" s="80"/>
      <c r="K8" s="10"/>
    </row>
    <row r="9" spans="1:11" x14ac:dyDescent="0.35">
      <c r="B9" s="26">
        <v>2400</v>
      </c>
      <c r="C9" s="24">
        <f>'DATA_Fly Screens'!C9*(1+'Fly Screens'!$K$2)</f>
        <v>143.29805039999997</v>
      </c>
      <c r="D9" s="9">
        <f>'DATA_Fly Screens'!D9*(1+'Fly Screens'!$K$2)</f>
        <v>179.12256299999999</v>
      </c>
      <c r="E9" s="9">
        <f>'DATA_Fly Screens'!E9*(1+'Fly Screens'!$K$2)</f>
        <v>214.94707559999998</v>
      </c>
      <c r="F9" s="9">
        <f>'DATA_Fly Screens'!F9*(1+'Fly Screens'!$K$2)</f>
        <v>250.7715882</v>
      </c>
      <c r="G9" s="9">
        <f>'DATA_Fly Screens'!G9*(1+'Fly Screens'!$K$2)</f>
        <v>286.59610079999993</v>
      </c>
      <c r="H9" s="9">
        <f>'DATA_Fly Screens'!H9*(1+'Fly Screens'!$K$2)</f>
        <v>322.42061339999998</v>
      </c>
      <c r="I9" s="9">
        <f>'DATA_Fly Screens'!I9*(1+'Fly Screens'!$K$2)</f>
        <v>358.24512599999997</v>
      </c>
      <c r="J9" s="80"/>
      <c r="K9" s="10"/>
    </row>
    <row r="10" spans="1:11" x14ac:dyDescent="0.35">
      <c r="B10" s="26">
        <v>2700</v>
      </c>
      <c r="C10" s="24">
        <f>'DATA_Fly Screens'!C10*(1+'Fly Screens'!$K$2)</f>
        <v>161.21030669999999</v>
      </c>
      <c r="D10" s="9">
        <f>'DATA_Fly Screens'!D10*(1+'Fly Screens'!$K$2)</f>
        <v>201.51288337499997</v>
      </c>
      <c r="E10" s="9">
        <f>'DATA_Fly Screens'!E10*(1+'Fly Screens'!$K$2)</f>
        <v>241.81546005000001</v>
      </c>
      <c r="F10" s="9">
        <f>'DATA_Fly Screens'!F10*(1+'Fly Screens'!$K$2)</f>
        <v>282.11803672499997</v>
      </c>
      <c r="G10" s="9">
        <f>'DATA_Fly Screens'!G10*(1+'Fly Screens'!$K$2)</f>
        <v>322.42061339999998</v>
      </c>
      <c r="H10" s="9">
        <f>'DATA_Fly Screens'!H10*(1+'Fly Screens'!$K$2)</f>
        <v>362.72319007499999</v>
      </c>
      <c r="I10" s="9">
        <f>'DATA_Fly Screens'!I10*(1+'Fly Screens'!$K$2)</f>
        <v>403.02576674999995</v>
      </c>
      <c r="J10" s="80"/>
      <c r="K10" s="10"/>
    </row>
    <row r="11" spans="1:11" ht="15" thickBot="1" x14ac:dyDescent="0.4">
      <c r="B11" s="28">
        <v>3000</v>
      </c>
      <c r="C11" s="11">
        <f>'DATA_Fly Screens'!C11*(1+'Fly Screens'!$K$2)</f>
        <v>179.12256299999999</v>
      </c>
      <c r="D11" s="12">
        <f>'DATA_Fly Screens'!D11*(1+'Fly Screens'!$K$2)</f>
        <v>223.90320374999999</v>
      </c>
      <c r="E11" s="12">
        <f>'DATA_Fly Screens'!E11*(1+'Fly Screens'!$K$2)</f>
        <v>268.68384450000002</v>
      </c>
      <c r="F11" s="12">
        <f>'DATA_Fly Screens'!F11*(1+'Fly Screens'!$K$2)</f>
        <v>313.46448525</v>
      </c>
      <c r="G11" s="12">
        <f>'DATA_Fly Screens'!G11*(1+'Fly Screens'!$K$2)</f>
        <v>358.24512599999997</v>
      </c>
      <c r="H11" s="12">
        <f>'DATA_Fly Screens'!H11*(1+'Fly Screens'!$K$2)</f>
        <v>403.02576674999995</v>
      </c>
      <c r="I11" s="12">
        <f>'DATA_Fly Screens'!I11*(1+'Fly Screens'!$K$2)</f>
        <v>447.80640749999998</v>
      </c>
      <c r="J11" s="103"/>
      <c r="K11" s="13"/>
    </row>
    <row r="12" spans="1:11" ht="6" customHeight="1" thickTop="1" x14ac:dyDescent="0.35"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5.5" x14ac:dyDescent="0.35">
      <c r="B13" s="182" t="s">
        <v>77</v>
      </c>
      <c r="C13" s="183"/>
      <c r="D13" s="183"/>
      <c r="E13" s="183"/>
      <c r="F13" s="183"/>
      <c r="G13" s="183"/>
      <c r="H13" s="183"/>
      <c r="I13" s="183"/>
      <c r="J13" s="183"/>
      <c r="K13" s="183"/>
    </row>
    <row r="14" spans="1:11" ht="9" customHeight="1" thickBot="1" x14ac:dyDescent="0.4"/>
    <row r="15" spans="1:11" ht="15" thickTop="1" x14ac:dyDescent="0.35">
      <c r="C15" s="148" t="s">
        <v>75</v>
      </c>
      <c r="D15" s="149"/>
      <c r="E15" s="149"/>
      <c r="F15" s="152" t="s">
        <v>28</v>
      </c>
      <c r="G15" s="149"/>
      <c r="H15" s="149"/>
      <c r="I15" s="152" t="s">
        <v>29</v>
      </c>
      <c r="J15" s="149"/>
      <c r="K15" s="153"/>
    </row>
    <row r="16" spans="1:11" x14ac:dyDescent="0.35">
      <c r="C16" s="160" t="s">
        <v>11</v>
      </c>
      <c r="D16" s="161"/>
      <c r="E16" s="161"/>
      <c r="F16" s="154">
        <v>75</v>
      </c>
      <c r="G16" s="155"/>
      <c r="H16" s="155"/>
      <c r="I16" s="154">
        <v>101</v>
      </c>
      <c r="J16" s="155"/>
      <c r="K16" s="156"/>
    </row>
    <row r="17" spans="2:11" x14ac:dyDescent="0.35">
      <c r="C17" s="160" t="s">
        <v>12</v>
      </c>
      <c r="D17" s="161"/>
      <c r="E17" s="161"/>
      <c r="F17" s="154">
        <v>25</v>
      </c>
      <c r="G17" s="155"/>
      <c r="H17" s="155"/>
      <c r="I17" s="154">
        <v>35</v>
      </c>
      <c r="J17" s="155"/>
      <c r="K17" s="156"/>
    </row>
    <row r="18" spans="2:11" x14ac:dyDescent="0.35">
      <c r="C18" s="160" t="s">
        <v>13</v>
      </c>
      <c r="D18" s="161"/>
      <c r="E18" s="161"/>
      <c r="F18" s="154">
        <v>50</v>
      </c>
      <c r="G18" s="155"/>
      <c r="H18" s="155"/>
      <c r="I18" s="154">
        <v>71</v>
      </c>
      <c r="J18" s="155"/>
      <c r="K18" s="156"/>
    </row>
    <row r="19" spans="2:11" ht="15" thickBot="1" x14ac:dyDescent="0.4">
      <c r="C19" s="150" t="s">
        <v>14</v>
      </c>
      <c r="D19" s="151"/>
      <c r="E19" s="151"/>
      <c r="F19" s="157">
        <v>80</v>
      </c>
      <c r="G19" s="158"/>
      <c r="H19" s="158"/>
      <c r="I19" s="157">
        <v>105</v>
      </c>
      <c r="J19" s="158"/>
      <c r="K19" s="159"/>
    </row>
    <row r="20" spans="2:11" ht="15" thickTop="1" x14ac:dyDescent="0.35"/>
    <row r="21" spans="2:11" ht="15" thickBot="1" x14ac:dyDescent="0.4">
      <c r="K21" s="32">
        <v>6.5000000000000002E-2</v>
      </c>
    </row>
    <row r="22" spans="2:11" ht="24.5" thickTop="1" thickBot="1" x14ac:dyDescent="0.6">
      <c r="C22" s="179" t="s">
        <v>6</v>
      </c>
      <c r="D22" s="180"/>
      <c r="E22" s="180"/>
      <c r="F22" s="180"/>
      <c r="G22" s="180"/>
      <c r="H22" s="180"/>
      <c r="I22" s="180"/>
      <c r="J22" s="180"/>
      <c r="K22" s="181"/>
    </row>
    <row r="23" spans="2:11" ht="15.5" thickTop="1" thickBot="1" x14ac:dyDescent="0.4">
      <c r="C23" s="99">
        <v>800</v>
      </c>
      <c r="D23" s="100">
        <v>900</v>
      </c>
      <c r="E23" s="100">
        <v>1000</v>
      </c>
      <c r="F23" s="100">
        <v>1100</v>
      </c>
      <c r="G23" s="100">
        <v>1200</v>
      </c>
      <c r="H23" s="100">
        <v>1300</v>
      </c>
      <c r="I23" s="100">
        <v>1400</v>
      </c>
      <c r="J23" s="100">
        <v>1500</v>
      </c>
      <c r="K23" s="101">
        <v>1600</v>
      </c>
    </row>
    <row r="24" spans="2:11" ht="15" thickTop="1" x14ac:dyDescent="0.35">
      <c r="B24" s="33">
        <v>2100</v>
      </c>
      <c r="C24" s="5">
        <f>('DATA_Fly Screens'!C21)*(1+$K$21)</f>
        <v>415.56885765080403</v>
      </c>
      <c r="D24" s="23">
        <f>('DATA_Fly Screens'!D21)*(1+$K$21)</f>
        <v>431.55227525275814</v>
      </c>
      <c r="E24" s="23">
        <f>('DATA_Fly Screens'!E21)*(1+$K$21)</f>
        <v>447.53569285471195</v>
      </c>
      <c r="F24" s="23">
        <f>('DATA_Fly Screens'!F21)*(1+$K$21)</f>
        <v>463.519110456666</v>
      </c>
      <c r="G24" s="23">
        <f>('DATA_Fly Screens'!G21)*(1+$K$21)</f>
        <v>479.50252805862004</v>
      </c>
      <c r="H24" s="23">
        <f>('DATA_Fly Screens'!H21)*(1+$K$21)</f>
        <v>495.48594566057403</v>
      </c>
      <c r="I24" s="23">
        <f>('DATA_Fly Screens'!I21)*(1+$K$21)</f>
        <v>511.46936326252802</v>
      </c>
      <c r="J24" s="23">
        <f>('DATA_Fly Screens'!J21)*(1+$K$21)</f>
        <v>527.45278086448195</v>
      </c>
      <c r="K24" s="7">
        <f>('DATA_Fly Screens'!K21)*(1+$K$21)</f>
        <v>543.43619846643605</v>
      </c>
    </row>
    <row r="25" spans="2:11" x14ac:dyDescent="0.35">
      <c r="B25" s="34">
        <v>2200</v>
      </c>
      <c r="C25" s="24">
        <f>('DATA_Fly Screens'!C22)*(1+$K$21)</f>
        <v>431.55227525275814</v>
      </c>
      <c r="D25" s="9">
        <f>('DATA_Fly Screens'!D22)*(1+$K$21)</f>
        <v>447.53569285471195</v>
      </c>
      <c r="E25" s="9">
        <f>('DATA_Fly Screens'!E22)*(1+$K$21)</f>
        <v>463.519110456666</v>
      </c>
      <c r="F25" s="9">
        <f>('DATA_Fly Screens'!F22)*(1+$K$21)</f>
        <v>479.50252805862004</v>
      </c>
      <c r="G25" s="9">
        <f>('DATA_Fly Screens'!G22)*(1+$K$21)</f>
        <v>495.48594566057403</v>
      </c>
      <c r="H25" s="9">
        <f>('DATA_Fly Screens'!H22)*(1+$K$21)</f>
        <v>511.46936326252802</v>
      </c>
      <c r="I25" s="9">
        <f>('DATA_Fly Screens'!I22)*(1+$K$21)</f>
        <v>527.45278086448195</v>
      </c>
      <c r="J25" s="9">
        <f>('DATA_Fly Screens'!J22)*(1+$K$21)</f>
        <v>543.43619846643605</v>
      </c>
      <c r="K25" s="10">
        <f>('DATA_Fly Screens'!K22)*(1+$K$21)</f>
        <v>559.41961606839004</v>
      </c>
    </row>
    <row r="26" spans="2:11" x14ac:dyDescent="0.35">
      <c r="B26" s="34">
        <v>2300</v>
      </c>
      <c r="C26" s="24">
        <f>('DATA_Fly Screens'!C23)*(1+$K$21)</f>
        <v>447.53569285471195</v>
      </c>
      <c r="D26" s="9">
        <f>('DATA_Fly Screens'!D23)*(1+$K$21)</f>
        <v>463.519110456666</v>
      </c>
      <c r="E26" s="9">
        <f>('DATA_Fly Screens'!E23)*(1+$K$21)</f>
        <v>479.50252805862004</v>
      </c>
      <c r="F26" s="9">
        <f>('DATA_Fly Screens'!F23)*(1+$K$21)</f>
        <v>495.48594566057403</v>
      </c>
      <c r="G26" s="9">
        <f>('DATA_Fly Screens'!G23)*(1+$K$21)</f>
        <v>511.46936326252802</v>
      </c>
      <c r="H26" s="9">
        <f>('DATA_Fly Screens'!H23)*(1+$K$21)</f>
        <v>527.45278086448195</v>
      </c>
      <c r="I26" s="9">
        <f>('DATA_Fly Screens'!I23)*(1+$K$21)</f>
        <v>543.43619846643605</v>
      </c>
      <c r="J26" s="9">
        <f>('DATA_Fly Screens'!J23)*(1+$K$21)</f>
        <v>559.41961606839004</v>
      </c>
      <c r="K26" s="10">
        <f>('DATA_Fly Screens'!K23)*(1+$K$21)</f>
        <v>575.40303367034403</v>
      </c>
    </row>
    <row r="27" spans="2:11" x14ac:dyDescent="0.35">
      <c r="B27" s="34">
        <v>2400</v>
      </c>
      <c r="C27" s="24">
        <f>('DATA_Fly Screens'!C24)*(1+$K$21)</f>
        <v>463.519110456666</v>
      </c>
      <c r="D27" s="9">
        <f>('DATA_Fly Screens'!D24)*(1+$K$21)</f>
        <v>479.50252805862004</v>
      </c>
      <c r="E27" s="9">
        <f>('DATA_Fly Screens'!E24)*(1+$K$21)</f>
        <v>495.48594566057403</v>
      </c>
      <c r="F27" s="9">
        <f>('DATA_Fly Screens'!F24)*(1+$K$21)</f>
        <v>511.46936326252802</v>
      </c>
      <c r="G27" s="9">
        <f>('DATA_Fly Screens'!G24)*(1+$K$21)</f>
        <v>527.45278086448195</v>
      </c>
      <c r="H27" s="9">
        <f>('DATA_Fly Screens'!H24)*(1+$K$21)</f>
        <v>543.43619846643605</v>
      </c>
      <c r="I27" s="9">
        <f>('DATA_Fly Screens'!I24)*(1+$K$21)</f>
        <v>559.41961606839004</v>
      </c>
      <c r="J27" s="9">
        <f>('DATA_Fly Screens'!J24)*(1+$K$21)</f>
        <v>575.40303367034403</v>
      </c>
      <c r="K27" s="10">
        <f>('DATA_Fly Screens'!K24)*(1+$K$21)</f>
        <v>591.38645127229813</v>
      </c>
    </row>
    <row r="28" spans="2:11" x14ac:dyDescent="0.35">
      <c r="B28" s="34">
        <v>2500</v>
      </c>
      <c r="C28" s="24">
        <f>('DATA_Fly Screens'!C25)*(1+$K$21)</f>
        <v>479.50252805862004</v>
      </c>
      <c r="D28" s="9">
        <f>('DATA_Fly Screens'!D25)*(1+$K$21)</f>
        <v>495.48594566057403</v>
      </c>
      <c r="E28" s="9">
        <f>('DATA_Fly Screens'!E25)*(1+$K$21)</f>
        <v>511.46936326252802</v>
      </c>
      <c r="F28" s="9">
        <f>('DATA_Fly Screens'!F25)*(1+$K$21)</f>
        <v>527.45278086448195</v>
      </c>
      <c r="G28" s="9">
        <f>('DATA_Fly Screens'!G25)*(1+$K$21)</f>
        <v>543.43619846643605</v>
      </c>
      <c r="H28" s="9">
        <f>('DATA_Fly Screens'!H25)*(1+$K$21)</f>
        <v>559.41961606839004</v>
      </c>
      <c r="I28" s="9">
        <f>('DATA_Fly Screens'!I25)*(1+$K$21)</f>
        <v>575.40303367034403</v>
      </c>
      <c r="J28" s="9">
        <f>('DATA_Fly Screens'!J25)*(1+$K$21)</f>
        <v>591.38645127229813</v>
      </c>
      <c r="K28" s="10">
        <f>('DATA_Fly Screens'!K25)*(1+$K$21)</f>
        <v>607.36986887425201</v>
      </c>
    </row>
    <row r="29" spans="2:11" ht="15" thickBot="1" x14ac:dyDescent="0.4">
      <c r="B29" s="35">
        <v>2600</v>
      </c>
      <c r="C29" s="11">
        <f>('DATA_Fly Screens'!C26)*(1+$K$21)</f>
        <v>495.48594566057403</v>
      </c>
      <c r="D29" s="12">
        <f>('DATA_Fly Screens'!D26)*(1+$K$21)</f>
        <v>511.46936326252802</v>
      </c>
      <c r="E29" s="12">
        <f>('DATA_Fly Screens'!E26)*(1+$K$21)</f>
        <v>527.45278086448195</v>
      </c>
      <c r="F29" s="12">
        <f>('DATA_Fly Screens'!F26)*(1+$K$21)</f>
        <v>543.43619846643605</v>
      </c>
      <c r="G29" s="12">
        <f>('DATA_Fly Screens'!G26)*(1+$K$21)</f>
        <v>559.41961606839004</v>
      </c>
      <c r="H29" s="12">
        <f>('DATA_Fly Screens'!H26)*(1+$K$21)</f>
        <v>575.40303367034403</v>
      </c>
      <c r="I29" s="12">
        <f>('DATA_Fly Screens'!I26)*(1+$K$21)</f>
        <v>591.38645127229813</v>
      </c>
      <c r="J29" s="12">
        <f>('DATA_Fly Screens'!J26)*(1+$K$21)</f>
        <v>607.36986887425201</v>
      </c>
      <c r="K29" s="13">
        <f>('DATA_Fly Screens'!K26)*(1+$K$21)</f>
        <v>623.35328647620599</v>
      </c>
    </row>
    <row r="30" spans="2:11" ht="15" thickTop="1" x14ac:dyDescent="0.35">
      <c r="B30" s="102"/>
      <c r="C30" s="36"/>
      <c r="D30" s="36"/>
      <c r="E30" s="36"/>
      <c r="F30" s="36"/>
      <c r="G30" s="36"/>
      <c r="H30" s="36"/>
      <c r="I30" s="36"/>
      <c r="J30" s="36"/>
      <c r="K30" s="36"/>
    </row>
    <row r="31" spans="2:11" ht="15" thickBot="1" x14ac:dyDescent="0.4">
      <c r="K31" s="32">
        <v>6.5000000000000002E-2</v>
      </c>
    </row>
    <row r="32" spans="2:11" ht="24" thickTop="1" x14ac:dyDescent="0.55000000000000004">
      <c r="C32" s="179" t="s">
        <v>7</v>
      </c>
      <c r="D32" s="180"/>
      <c r="E32" s="180"/>
      <c r="F32" s="180"/>
      <c r="G32" s="180"/>
      <c r="H32" s="180"/>
      <c r="I32" s="180"/>
      <c r="J32" s="180"/>
      <c r="K32" s="181"/>
    </row>
    <row r="33" spans="2:11" ht="15" thickBot="1" x14ac:dyDescent="0.4">
      <c r="C33" s="29">
        <v>800</v>
      </c>
      <c r="D33" s="30">
        <v>900</v>
      </c>
      <c r="E33" s="30">
        <v>1000</v>
      </c>
      <c r="F33" s="30">
        <v>1100</v>
      </c>
      <c r="G33" s="30">
        <v>1200</v>
      </c>
      <c r="H33" s="30">
        <v>1300</v>
      </c>
      <c r="I33" s="30">
        <v>1400</v>
      </c>
      <c r="J33" s="30">
        <v>1500</v>
      </c>
      <c r="K33" s="31">
        <v>1600</v>
      </c>
    </row>
    <row r="34" spans="2:11" ht="15" thickTop="1" x14ac:dyDescent="0.35">
      <c r="B34" s="25">
        <v>2100</v>
      </c>
      <c r="C34" s="5">
        <f>('DATA_Fly Screens'!C30)*(1+$K$31)</f>
        <v>507.33967641800399</v>
      </c>
      <c r="D34" s="23">
        <f>('DATA_Fly Screens'!D30)*(1+$K$31)</f>
        <v>523.32309401995803</v>
      </c>
      <c r="E34" s="23">
        <f>('DATA_Fly Screens'!E30)*(1+$K$31)</f>
        <v>539.30651162191202</v>
      </c>
      <c r="F34" s="23">
        <f>('DATA_Fly Screens'!F30)*(1+$K$31)</f>
        <v>555.28992922386601</v>
      </c>
      <c r="G34" s="23">
        <f>('DATA_Fly Screens'!G30)*(1+$K$31)</f>
        <v>571.27334682582011</v>
      </c>
      <c r="H34" s="9" t="s">
        <v>31</v>
      </c>
      <c r="I34" s="9" t="s">
        <v>31</v>
      </c>
      <c r="J34" s="9" t="s">
        <v>31</v>
      </c>
      <c r="K34" s="10" t="s">
        <v>31</v>
      </c>
    </row>
    <row r="35" spans="2:11" x14ac:dyDescent="0.35">
      <c r="B35" s="26">
        <v>2200</v>
      </c>
      <c r="C35" s="24">
        <f>('DATA_Fly Screens'!C31)*(1+$K$31)</f>
        <v>523.32309401995803</v>
      </c>
      <c r="D35" s="9">
        <f>('DATA_Fly Screens'!D31)*(1+$K$31)</f>
        <v>539.30651162191202</v>
      </c>
      <c r="E35" s="9">
        <f>('DATA_Fly Screens'!E31)*(1+$K$31)</f>
        <v>555.28992922386601</v>
      </c>
      <c r="F35" s="9">
        <f>('DATA_Fly Screens'!F31)*(1+$K$31)</f>
        <v>571.27334682582011</v>
      </c>
      <c r="G35" s="9">
        <f>('DATA_Fly Screens'!G31)*(1+$K$31)</f>
        <v>587.25676442777399</v>
      </c>
      <c r="H35" s="9" t="s">
        <v>31</v>
      </c>
      <c r="I35" s="9" t="s">
        <v>31</v>
      </c>
      <c r="J35" s="9" t="s">
        <v>31</v>
      </c>
      <c r="K35" s="10" t="s">
        <v>31</v>
      </c>
    </row>
    <row r="36" spans="2:11" x14ac:dyDescent="0.35">
      <c r="B36" s="26">
        <v>2300</v>
      </c>
      <c r="C36" s="24">
        <f>('DATA_Fly Screens'!C32)*(1+$K$31)</f>
        <v>539.30651162191202</v>
      </c>
      <c r="D36" s="9">
        <f>('DATA_Fly Screens'!D32)*(1+$K$31)</f>
        <v>555.28992922386601</v>
      </c>
      <c r="E36" s="9">
        <f>('DATA_Fly Screens'!E32)*(1+$K$31)</f>
        <v>571.27334682582011</v>
      </c>
      <c r="F36" s="9">
        <f>('DATA_Fly Screens'!F32)*(1+$K$31)</f>
        <v>587.25676442777399</v>
      </c>
      <c r="G36" s="9">
        <f>('DATA_Fly Screens'!G32)*(1+$K$31)</f>
        <v>603.24018202972809</v>
      </c>
      <c r="H36" s="9" t="s">
        <v>31</v>
      </c>
      <c r="I36" s="9" t="s">
        <v>31</v>
      </c>
      <c r="J36" s="9" t="s">
        <v>31</v>
      </c>
      <c r="K36" s="10" t="s">
        <v>31</v>
      </c>
    </row>
    <row r="37" spans="2:11" x14ac:dyDescent="0.35">
      <c r="B37" s="26">
        <v>2400</v>
      </c>
      <c r="C37" s="24">
        <f>('DATA_Fly Screens'!C33)*(1+$K$31)</f>
        <v>555.28992922386601</v>
      </c>
      <c r="D37" s="9">
        <f>('DATA_Fly Screens'!D33)*(1+$K$31)</f>
        <v>571.27334682582011</v>
      </c>
      <c r="E37" s="9">
        <f>('DATA_Fly Screens'!E33)*(1+$K$31)</f>
        <v>587.25676442777399</v>
      </c>
      <c r="F37" s="9">
        <f>('DATA_Fly Screens'!F33)*(1+$K$31)</f>
        <v>603.24018202972809</v>
      </c>
      <c r="G37" s="9">
        <f>('DATA_Fly Screens'!G33)*(1+$K$31)</f>
        <v>619.22359963168196</v>
      </c>
      <c r="H37" s="9" t="s">
        <v>31</v>
      </c>
      <c r="I37" s="9" t="s">
        <v>31</v>
      </c>
      <c r="J37" s="9" t="s">
        <v>31</v>
      </c>
      <c r="K37" s="10" t="s">
        <v>31</v>
      </c>
    </row>
    <row r="38" spans="2:11" x14ac:dyDescent="0.35">
      <c r="B38" s="26">
        <v>2500</v>
      </c>
      <c r="C38" s="24">
        <f>('DATA_Fly Screens'!C34)*(1+$K$31)</f>
        <v>571.27334682582011</v>
      </c>
      <c r="D38" s="9">
        <f>('DATA_Fly Screens'!D34)*(1+$K$31)</f>
        <v>587.25676442777399</v>
      </c>
      <c r="E38" s="9">
        <f>('DATA_Fly Screens'!E34)*(1+$K$31)</f>
        <v>603.24018202972809</v>
      </c>
      <c r="F38" s="9">
        <f>('DATA_Fly Screens'!F34)*(1+$K$31)</f>
        <v>619.22359963168196</v>
      </c>
      <c r="G38" s="9">
        <f>('DATA_Fly Screens'!G34)*(1+$K$31)</f>
        <v>635.20701723363607</v>
      </c>
      <c r="H38" s="9" t="s">
        <v>31</v>
      </c>
      <c r="I38" s="9" t="s">
        <v>31</v>
      </c>
      <c r="J38" s="9" t="s">
        <v>31</v>
      </c>
      <c r="K38" s="10" t="s">
        <v>31</v>
      </c>
    </row>
    <row r="39" spans="2:11" ht="15" thickBot="1" x14ac:dyDescent="0.4">
      <c r="B39" s="28">
        <v>2600</v>
      </c>
      <c r="C39" s="11">
        <f>('DATA_Fly Screens'!C35)*(1+$K$31)</f>
        <v>587.25676442777399</v>
      </c>
      <c r="D39" s="12">
        <f>('DATA_Fly Screens'!D35)*(1+$K$31)</f>
        <v>603.24018202972809</v>
      </c>
      <c r="E39" s="12">
        <f>('DATA_Fly Screens'!E35)*(1+$K$31)</f>
        <v>619.22359963168196</v>
      </c>
      <c r="F39" s="12">
        <f>('DATA_Fly Screens'!F35)*(1+$K$31)</f>
        <v>635.20701723363607</v>
      </c>
      <c r="G39" s="12">
        <f>('DATA_Fly Screens'!G35)*(1+$K$31)</f>
        <v>651.19043483559005</v>
      </c>
      <c r="H39" s="12" t="s">
        <v>31</v>
      </c>
      <c r="I39" s="12" t="s">
        <v>31</v>
      </c>
      <c r="J39" s="12" t="s">
        <v>31</v>
      </c>
      <c r="K39" s="13" t="s">
        <v>31</v>
      </c>
    </row>
    <row r="40" spans="2:11" ht="7.25" customHeight="1" thickTop="1" thickBot="1" x14ac:dyDescent="0.4"/>
    <row r="41" spans="2:11" ht="15" thickTop="1" x14ac:dyDescent="0.35">
      <c r="C41" s="148" t="s">
        <v>74</v>
      </c>
      <c r="D41" s="149"/>
      <c r="E41" s="149"/>
      <c r="F41" s="152" t="s">
        <v>9</v>
      </c>
      <c r="G41" s="149"/>
      <c r="H41" s="149"/>
      <c r="I41" s="152" t="s">
        <v>10</v>
      </c>
      <c r="J41" s="149"/>
      <c r="K41" s="153"/>
    </row>
    <row r="42" spans="2:11" x14ac:dyDescent="0.35">
      <c r="C42" s="160" t="s">
        <v>11</v>
      </c>
      <c r="D42" s="161"/>
      <c r="E42" s="161"/>
      <c r="F42" s="154">
        <v>120</v>
      </c>
      <c r="G42" s="155"/>
      <c r="H42" s="155"/>
      <c r="I42" s="154">
        <v>145</v>
      </c>
      <c r="J42" s="155"/>
      <c r="K42" s="156"/>
    </row>
    <row r="43" spans="2:11" x14ac:dyDescent="0.35">
      <c r="C43" s="160" t="s">
        <v>12</v>
      </c>
      <c r="D43" s="161"/>
      <c r="E43" s="161"/>
      <c r="F43" s="154">
        <v>50</v>
      </c>
      <c r="G43" s="155"/>
      <c r="H43" s="155"/>
      <c r="I43" s="154">
        <v>60</v>
      </c>
      <c r="J43" s="155"/>
      <c r="K43" s="156"/>
    </row>
    <row r="44" spans="2:11" x14ac:dyDescent="0.35">
      <c r="C44" s="160" t="s">
        <v>13</v>
      </c>
      <c r="D44" s="161"/>
      <c r="E44" s="161"/>
      <c r="F44" s="154">
        <v>100</v>
      </c>
      <c r="G44" s="155"/>
      <c r="H44" s="155"/>
      <c r="I44" s="154">
        <v>120</v>
      </c>
      <c r="J44" s="155"/>
      <c r="K44" s="156"/>
    </row>
    <row r="45" spans="2:11" ht="15" thickBot="1" x14ac:dyDescent="0.4">
      <c r="C45" s="150" t="s">
        <v>14</v>
      </c>
      <c r="D45" s="151"/>
      <c r="E45" s="151"/>
      <c r="F45" s="157">
        <v>160</v>
      </c>
      <c r="G45" s="158"/>
      <c r="H45" s="158"/>
      <c r="I45" s="157">
        <v>190</v>
      </c>
      <c r="J45" s="158"/>
      <c r="K45" s="159"/>
    </row>
    <row r="46" spans="2:11" ht="15" thickTop="1" x14ac:dyDescent="0.35"/>
    <row r="47" spans="2:11" ht="18.5" x14ac:dyDescent="0.45">
      <c r="B47" s="113" t="s">
        <v>1</v>
      </c>
      <c r="C47" s="113"/>
      <c r="D47" s="113"/>
      <c r="E47" s="113"/>
      <c r="F47" s="113"/>
      <c r="G47" s="113"/>
      <c r="H47" s="113"/>
      <c r="I47" s="113"/>
      <c r="J47" s="113"/>
      <c r="K47" s="113"/>
    </row>
  </sheetData>
  <mergeCells count="37">
    <mergeCell ref="A1:K1"/>
    <mergeCell ref="G2:H2"/>
    <mergeCell ref="C4:K4"/>
    <mergeCell ref="C22:K22"/>
    <mergeCell ref="B13:K13"/>
    <mergeCell ref="C15:E15"/>
    <mergeCell ref="F15:H15"/>
    <mergeCell ref="I15:K15"/>
    <mergeCell ref="C16:E16"/>
    <mergeCell ref="F16:H16"/>
    <mergeCell ref="I16:K16"/>
    <mergeCell ref="C17:E17"/>
    <mergeCell ref="F17:H17"/>
    <mergeCell ref="I17:K17"/>
    <mergeCell ref="C18:E18"/>
    <mergeCell ref="F18:H18"/>
    <mergeCell ref="I18:K18"/>
    <mergeCell ref="C19:E19"/>
    <mergeCell ref="F19:H19"/>
    <mergeCell ref="C32:K32"/>
    <mergeCell ref="I19:K19"/>
    <mergeCell ref="C41:E41"/>
    <mergeCell ref="F41:H41"/>
    <mergeCell ref="I41:K41"/>
    <mergeCell ref="C42:E42"/>
    <mergeCell ref="F42:H42"/>
    <mergeCell ref="I42:K42"/>
    <mergeCell ref="C45:E45"/>
    <mergeCell ref="F45:H45"/>
    <mergeCell ref="I45:K45"/>
    <mergeCell ref="B47:K47"/>
    <mergeCell ref="C43:E43"/>
    <mergeCell ref="F43:H43"/>
    <mergeCell ref="I43:K43"/>
    <mergeCell ref="C44:E44"/>
    <mergeCell ref="F44:H44"/>
    <mergeCell ref="I44:K44"/>
  </mergeCells>
  <pageMargins left="3.937007874015748E-2" right="3.937007874015748E-2" top="0.23622047244094491" bottom="0.23622047244094491" header="0.11811023622047245" footer="0.11811023622047245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K48"/>
  <sheetViews>
    <sheetView topLeftCell="A2" workbookViewId="0">
      <selection activeCell="O14" sqref="O14"/>
    </sheetView>
  </sheetViews>
  <sheetFormatPr defaultRowHeight="14.5" x14ac:dyDescent="0.35"/>
  <cols>
    <col min="1" max="1" width="8.54296875" customWidth="1"/>
    <col min="2" max="2" width="7.54296875" style="1" customWidth="1"/>
    <col min="3" max="3" width="8.90625" style="2" customWidth="1"/>
    <col min="4" max="11" width="8.1796875" style="2" customWidth="1"/>
  </cols>
  <sheetData>
    <row r="1" spans="1:11" ht="33.5" x14ac:dyDescent="0.75">
      <c r="A1" s="105" t="s">
        <v>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ht="23.5" x14ac:dyDescent="0.55000000000000004">
      <c r="A2" s="162" t="s">
        <v>70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ht="11" customHeight="1" thickBot="1" x14ac:dyDescent="0.4"/>
    <row r="4" spans="1:11" ht="24" thickTop="1" x14ac:dyDescent="0.55000000000000004">
      <c r="C4" s="122" t="s">
        <v>5</v>
      </c>
      <c r="D4" s="127"/>
      <c r="E4" s="127"/>
      <c r="F4" s="127"/>
      <c r="G4" s="127"/>
      <c r="H4" s="127"/>
      <c r="I4" s="127"/>
      <c r="J4" s="127"/>
      <c r="K4" s="128"/>
    </row>
    <row r="5" spans="1:11" ht="15" thickBot="1" x14ac:dyDescent="0.4">
      <c r="B5" s="4"/>
      <c r="C5" s="29">
        <v>1200</v>
      </c>
      <c r="D5" s="30">
        <v>1500</v>
      </c>
      <c r="E5" s="30">
        <v>1800</v>
      </c>
      <c r="F5" s="30">
        <v>2100</v>
      </c>
      <c r="G5" s="30">
        <v>2400</v>
      </c>
      <c r="H5" s="30">
        <v>2700</v>
      </c>
      <c r="I5" s="30">
        <v>3000</v>
      </c>
      <c r="J5" s="30"/>
      <c r="K5" s="31"/>
    </row>
    <row r="6" spans="1:11" ht="15" thickTop="1" x14ac:dyDescent="0.35">
      <c r="B6" s="25">
        <v>1500</v>
      </c>
      <c r="C6" s="5">
        <v>84.095100000000002</v>
      </c>
      <c r="D6" s="23">
        <v>105.118875</v>
      </c>
      <c r="E6" s="23">
        <v>126.14265</v>
      </c>
      <c r="F6" s="23">
        <v>147.166425</v>
      </c>
      <c r="G6" s="23">
        <v>168.1902</v>
      </c>
      <c r="H6" s="23">
        <v>189.21397499999998</v>
      </c>
      <c r="I6" s="23">
        <v>210.23775000000001</v>
      </c>
      <c r="J6" s="6"/>
      <c r="K6" s="7"/>
    </row>
    <row r="7" spans="1:11" x14ac:dyDescent="0.35">
      <c r="B7" s="26">
        <v>1800</v>
      </c>
      <c r="C7" s="24">
        <v>100.91412</v>
      </c>
      <c r="D7" s="9">
        <v>126.14265</v>
      </c>
      <c r="E7" s="9">
        <v>151.37118000000001</v>
      </c>
      <c r="F7" s="9">
        <v>176.59970999999999</v>
      </c>
      <c r="G7" s="9">
        <v>201.82823999999999</v>
      </c>
      <c r="H7" s="9">
        <v>227.05677000000003</v>
      </c>
      <c r="I7" s="9">
        <v>252.28530000000001</v>
      </c>
      <c r="J7" s="9"/>
      <c r="K7" s="10"/>
    </row>
    <row r="8" spans="1:11" x14ac:dyDescent="0.35">
      <c r="B8" s="27">
        <v>2100</v>
      </c>
      <c r="C8" s="24">
        <v>117.73314000000001</v>
      </c>
      <c r="D8" s="9">
        <v>147.166425</v>
      </c>
      <c r="E8" s="9">
        <v>176.59970999999999</v>
      </c>
      <c r="F8" s="9">
        <v>206.032995</v>
      </c>
      <c r="G8" s="9">
        <v>235.46628000000001</v>
      </c>
      <c r="H8" s="9">
        <v>264.899565</v>
      </c>
      <c r="I8" s="9">
        <v>294.33285000000001</v>
      </c>
      <c r="J8" s="9"/>
      <c r="K8" s="10"/>
    </row>
    <row r="9" spans="1:11" x14ac:dyDescent="0.35">
      <c r="B9" s="26">
        <v>2400</v>
      </c>
      <c r="C9" s="24">
        <v>134.55215999999999</v>
      </c>
      <c r="D9" s="9">
        <v>168.1902</v>
      </c>
      <c r="E9" s="9">
        <v>201.82823999999999</v>
      </c>
      <c r="F9" s="9">
        <v>235.46628000000001</v>
      </c>
      <c r="G9" s="9">
        <v>269.10431999999997</v>
      </c>
      <c r="H9" s="9">
        <v>302.74236000000002</v>
      </c>
      <c r="I9" s="9">
        <v>336.38040000000001</v>
      </c>
      <c r="J9" s="9"/>
      <c r="K9" s="10"/>
    </row>
    <row r="10" spans="1:11" x14ac:dyDescent="0.35">
      <c r="B10" s="26">
        <v>2700</v>
      </c>
      <c r="C10" s="24">
        <v>151.37118000000001</v>
      </c>
      <c r="D10" s="9">
        <v>189.21397499999998</v>
      </c>
      <c r="E10" s="9">
        <v>227.05677000000003</v>
      </c>
      <c r="F10" s="9">
        <v>264.899565</v>
      </c>
      <c r="G10" s="9">
        <v>302.74236000000002</v>
      </c>
      <c r="H10" s="9">
        <v>340.58515499999999</v>
      </c>
      <c r="I10" s="9">
        <v>378.42794999999995</v>
      </c>
      <c r="J10" s="9"/>
      <c r="K10" s="10"/>
    </row>
    <row r="11" spans="1:11" ht="15" thickBot="1" x14ac:dyDescent="0.4">
      <c r="B11" s="28">
        <v>3000</v>
      </c>
      <c r="C11" s="11">
        <v>168.1902</v>
      </c>
      <c r="D11" s="12">
        <v>210.23775000000001</v>
      </c>
      <c r="E11" s="12">
        <v>252.28530000000001</v>
      </c>
      <c r="F11" s="12">
        <v>294.33285000000001</v>
      </c>
      <c r="G11" s="12">
        <v>336.38040000000001</v>
      </c>
      <c r="H11" s="12">
        <v>378.42794999999995</v>
      </c>
      <c r="I11" s="12">
        <v>420.47550000000001</v>
      </c>
      <c r="J11" s="12"/>
      <c r="K11" s="13"/>
    </row>
    <row r="12" spans="1:11" ht="9" customHeight="1" thickTop="1" thickBot="1" x14ac:dyDescent="0.4"/>
    <row r="13" spans="1:11" ht="15" thickTop="1" x14ac:dyDescent="0.35">
      <c r="C13" s="148" t="s">
        <v>27</v>
      </c>
      <c r="D13" s="149"/>
      <c r="E13" s="149"/>
      <c r="F13" s="152" t="s">
        <v>28</v>
      </c>
      <c r="G13" s="149"/>
      <c r="H13" s="149"/>
      <c r="I13" s="152" t="s">
        <v>29</v>
      </c>
      <c r="J13" s="149"/>
      <c r="K13" s="153"/>
    </row>
    <row r="14" spans="1:11" x14ac:dyDescent="0.35">
      <c r="C14" s="160" t="s">
        <v>11</v>
      </c>
      <c r="D14" s="161"/>
      <c r="E14" s="161"/>
      <c r="F14" s="163">
        <v>47.234000000000002</v>
      </c>
      <c r="G14" s="164"/>
      <c r="H14" s="165"/>
      <c r="I14" s="163">
        <v>63.744999999999997</v>
      </c>
      <c r="J14" s="164"/>
      <c r="K14" s="166"/>
    </row>
    <row r="15" spans="1:11" x14ac:dyDescent="0.35">
      <c r="C15" s="160" t="s">
        <v>12</v>
      </c>
      <c r="D15" s="161"/>
      <c r="E15" s="161"/>
      <c r="F15" s="163">
        <v>13.166999999999998</v>
      </c>
      <c r="G15" s="164"/>
      <c r="H15" s="165"/>
      <c r="I15" s="163">
        <v>20.9</v>
      </c>
      <c r="J15" s="164"/>
      <c r="K15" s="166"/>
    </row>
    <row r="16" spans="1:11" x14ac:dyDescent="0.35">
      <c r="C16" s="160" t="s">
        <v>13</v>
      </c>
      <c r="D16" s="161"/>
      <c r="E16" s="161"/>
      <c r="F16" s="163">
        <v>30.722999999999995</v>
      </c>
      <c r="G16" s="164"/>
      <c r="H16" s="165"/>
      <c r="I16" s="163">
        <v>44.934999999999995</v>
      </c>
      <c r="J16" s="164"/>
      <c r="K16" s="166"/>
    </row>
    <row r="17" spans="2:11" ht="15" thickBot="1" x14ac:dyDescent="0.4">
      <c r="C17" s="150" t="s">
        <v>14</v>
      </c>
      <c r="D17" s="151"/>
      <c r="E17" s="151"/>
      <c r="F17" s="167">
        <v>49.428499999999993</v>
      </c>
      <c r="G17" s="168"/>
      <c r="H17" s="169"/>
      <c r="I17" s="167">
        <v>65.834999999999994</v>
      </c>
      <c r="J17" s="168"/>
      <c r="K17" s="170"/>
    </row>
    <row r="18" spans="2:11" ht="15.5" thickTop="1" thickBot="1" x14ac:dyDescent="0.4"/>
    <row r="19" spans="2:11" ht="24" thickTop="1" x14ac:dyDescent="0.55000000000000004">
      <c r="C19" s="122" t="s">
        <v>6</v>
      </c>
      <c r="D19" s="127"/>
      <c r="E19" s="127"/>
      <c r="F19" s="127"/>
      <c r="G19" s="127"/>
      <c r="H19" s="127"/>
      <c r="I19" s="127"/>
      <c r="J19" s="127"/>
      <c r="K19" s="128"/>
    </row>
    <row r="20" spans="2:11" ht="15" thickBot="1" x14ac:dyDescent="0.4">
      <c r="C20" s="29">
        <v>800</v>
      </c>
      <c r="D20" s="30">
        <v>900</v>
      </c>
      <c r="E20" s="30">
        <v>1000</v>
      </c>
      <c r="F20" s="30">
        <v>1100</v>
      </c>
      <c r="G20" s="30">
        <v>1200</v>
      </c>
      <c r="H20" s="30">
        <v>1300</v>
      </c>
      <c r="I20" s="30">
        <v>1400</v>
      </c>
      <c r="J20" s="30">
        <v>1500</v>
      </c>
      <c r="K20" s="31">
        <v>1600</v>
      </c>
    </row>
    <row r="21" spans="2:11" ht="15" thickTop="1" x14ac:dyDescent="0.35">
      <c r="B21" s="25">
        <v>2100</v>
      </c>
      <c r="C21" s="8">
        <v>390.20550014160006</v>
      </c>
      <c r="D21" s="9">
        <v>405.21340399320013</v>
      </c>
      <c r="E21" s="9">
        <v>420.22130784479998</v>
      </c>
      <c r="F21" s="9">
        <v>435.2292116964</v>
      </c>
      <c r="G21" s="9">
        <v>450.23711554800008</v>
      </c>
      <c r="H21" s="9">
        <v>465.24501939960004</v>
      </c>
      <c r="I21" s="9">
        <v>480.25292325120006</v>
      </c>
      <c r="J21" s="9">
        <v>495.26082710280002</v>
      </c>
      <c r="K21" s="10">
        <v>510.2687309544001</v>
      </c>
    </row>
    <row r="22" spans="2:11" x14ac:dyDescent="0.35">
      <c r="B22" s="26">
        <v>2200</v>
      </c>
      <c r="C22" s="8">
        <v>405.21340399320013</v>
      </c>
      <c r="D22" s="9">
        <v>420.22130784479998</v>
      </c>
      <c r="E22" s="9">
        <v>435.2292116964</v>
      </c>
      <c r="F22" s="9">
        <v>450.23711554800008</v>
      </c>
      <c r="G22" s="9">
        <v>465.24501939960004</v>
      </c>
      <c r="H22" s="9">
        <v>480.25292325120006</v>
      </c>
      <c r="I22" s="9">
        <v>495.26082710280002</v>
      </c>
      <c r="J22" s="9">
        <v>510.2687309544001</v>
      </c>
      <c r="K22" s="10">
        <v>525.27663480600006</v>
      </c>
    </row>
    <row r="23" spans="2:11" x14ac:dyDescent="0.35">
      <c r="B23" s="26">
        <v>2300</v>
      </c>
      <c r="C23" s="8">
        <v>420.22130784479998</v>
      </c>
      <c r="D23" s="9">
        <v>435.2292116964</v>
      </c>
      <c r="E23" s="9">
        <v>450.23711554800008</v>
      </c>
      <c r="F23" s="9">
        <v>465.24501939960004</v>
      </c>
      <c r="G23" s="9">
        <v>480.25292325120006</v>
      </c>
      <c r="H23" s="9">
        <v>495.26082710280002</v>
      </c>
      <c r="I23" s="9">
        <v>510.2687309544001</v>
      </c>
      <c r="J23" s="9">
        <v>525.27663480600006</v>
      </c>
      <c r="K23" s="10">
        <v>540.28453865760002</v>
      </c>
    </row>
    <row r="24" spans="2:11" x14ac:dyDescent="0.35">
      <c r="B24" s="26">
        <v>2400</v>
      </c>
      <c r="C24" s="8">
        <v>435.2292116964</v>
      </c>
      <c r="D24" s="9">
        <v>450.23711554800008</v>
      </c>
      <c r="E24" s="9">
        <v>465.24501939960004</v>
      </c>
      <c r="F24" s="9">
        <v>480.25292325120006</v>
      </c>
      <c r="G24" s="9">
        <v>495.26082710280002</v>
      </c>
      <c r="H24" s="9">
        <v>510.2687309544001</v>
      </c>
      <c r="I24" s="9">
        <v>525.27663480600006</v>
      </c>
      <c r="J24" s="9">
        <v>540.28453865760002</v>
      </c>
      <c r="K24" s="10">
        <v>555.2924425092001</v>
      </c>
    </row>
    <row r="25" spans="2:11" x14ac:dyDescent="0.35">
      <c r="B25" s="26">
        <v>2500</v>
      </c>
      <c r="C25" s="8">
        <v>450.23711554800008</v>
      </c>
      <c r="D25" s="9">
        <v>465.24501939960004</v>
      </c>
      <c r="E25" s="9">
        <v>480.25292325120006</v>
      </c>
      <c r="F25" s="9">
        <v>495.26082710280002</v>
      </c>
      <c r="G25" s="9">
        <v>510.2687309544001</v>
      </c>
      <c r="H25" s="9">
        <v>525.27663480600006</v>
      </c>
      <c r="I25" s="9">
        <v>540.28453865760002</v>
      </c>
      <c r="J25" s="9">
        <v>555.2924425092001</v>
      </c>
      <c r="K25" s="10">
        <v>570.30034636080006</v>
      </c>
    </row>
    <row r="26" spans="2:11" ht="15" thickBot="1" x14ac:dyDescent="0.4">
      <c r="B26" s="28">
        <v>2600</v>
      </c>
      <c r="C26" s="14">
        <v>465.24501939960004</v>
      </c>
      <c r="D26" s="12">
        <v>480.25292325120006</v>
      </c>
      <c r="E26" s="12">
        <v>495.26082710280002</v>
      </c>
      <c r="F26" s="12">
        <v>510.2687309544001</v>
      </c>
      <c r="G26" s="12">
        <v>525.27663480600006</v>
      </c>
      <c r="H26" s="12">
        <v>540.28453865760002</v>
      </c>
      <c r="I26" s="12">
        <v>555.2924425092001</v>
      </c>
      <c r="J26" s="12">
        <v>570.30034636080006</v>
      </c>
      <c r="K26" s="13">
        <v>585.30825021240003</v>
      </c>
    </row>
    <row r="27" spans="2:11" ht="9" customHeight="1" thickTop="1" thickBot="1" x14ac:dyDescent="0.4"/>
    <row r="28" spans="2:11" ht="24" thickTop="1" x14ac:dyDescent="0.55000000000000004">
      <c r="C28" s="122" t="s">
        <v>7</v>
      </c>
      <c r="D28" s="127"/>
      <c r="E28" s="127"/>
      <c r="F28" s="127"/>
      <c r="G28" s="127"/>
      <c r="H28" s="127"/>
      <c r="I28" s="127"/>
      <c r="J28" s="127"/>
      <c r="K28" s="128"/>
    </row>
    <row r="29" spans="2:11" ht="15" thickBot="1" x14ac:dyDescent="0.4">
      <c r="C29" s="29">
        <v>800</v>
      </c>
      <c r="D29" s="30">
        <v>900</v>
      </c>
      <c r="E29" s="30">
        <v>1000</v>
      </c>
      <c r="F29" s="30">
        <v>1100</v>
      </c>
      <c r="G29" s="30">
        <v>1200</v>
      </c>
      <c r="H29" s="30">
        <v>1300</v>
      </c>
      <c r="I29" s="30">
        <v>1400</v>
      </c>
      <c r="J29" s="30">
        <v>1500</v>
      </c>
      <c r="K29" s="31">
        <v>1600</v>
      </c>
    </row>
    <row r="30" spans="2:11" ht="15" thickTop="1" x14ac:dyDescent="0.35">
      <c r="B30" s="33">
        <v>2100</v>
      </c>
      <c r="C30" s="5">
        <v>476.37528302160001</v>
      </c>
      <c r="D30" s="23">
        <v>491.38318687320003</v>
      </c>
      <c r="E30" s="23">
        <v>506.39109072480005</v>
      </c>
      <c r="F30" s="23">
        <v>521.39899457640001</v>
      </c>
      <c r="G30" s="23">
        <v>536.40689842800009</v>
      </c>
      <c r="H30" s="23" t="s">
        <v>31</v>
      </c>
      <c r="I30" s="23" t="s">
        <v>31</v>
      </c>
      <c r="J30" s="23" t="s">
        <v>31</v>
      </c>
      <c r="K30" s="7" t="s">
        <v>31</v>
      </c>
    </row>
    <row r="31" spans="2:11" x14ac:dyDescent="0.35">
      <c r="B31" s="34">
        <v>2200</v>
      </c>
      <c r="C31" s="24">
        <v>491.38318687320003</v>
      </c>
      <c r="D31" s="9">
        <v>506.39109072480005</v>
      </c>
      <c r="E31" s="9">
        <v>521.39899457640001</v>
      </c>
      <c r="F31" s="9">
        <v>536.40689842800009</v>
      </c>
      <c r="G31" s="9">
        <v>551.41480227960005</v>
      </c>
      <c r="H31" s="9" t="s">
        <v>31</v>
      </c>
      <c r="I31" s="9" t="s">
        <v>31</v>
      </c>
      <c r="J31" s="9" t="s">
        <v>31</v>
      </c>
      <c r="K31" s="10" t="s">
        <v>31</v>
      </c>
    </row>
    <row r="32" spans="2:11" x14ac:dyDescent="0.35">
      <c r="B32" s="34">
        <v>2300</v>
      </c>
      <c r="C32" s="24">
        <v>506.39109072480005</v>
      </c>
      <c r="D32" s="9">
        <v>521.39899457640001</v>
      </c>
      <c r="E32" s="9">
        <v>536.40689842800009</v>
      </c>
      <c r="F32" s="9">
        <v>551.41480227960005</v>
      </c>
      <c r="G32" s="9">
        <v>566.42270613120013</v>
      </c>
      <c r="H32" s="9" t="s">
        <v>31</v>
      </c>
      <c r="I32" s="9" t="s">
        <v>31</v>
      </c>
      <c r="J32" s="9" t="s">
        <v>31</v>
      </c>
      <c r="K32" s="10" t="s">
        <v>31</v>
      </c>
    </row>
    <row r="33" spans="2:11" x14ac:dyDescent="0.35">
      <c r="B33" s="34">
        <v>2400</v>
      </c>
      <c r="C33" s="24">
        <v>521.39899457640001</v>
      </c>
      <c r="D33" s="9">
        <v>536.40689842800009</v>
      </c>
      <c r="E33" s="9">
        <v>551.41480227960005</v>
      </c>
      <c r="F33" s="9">
        <v>566.42270613120013</v>
      </c>
      <c r="G33" s="9">
        <v>581.43060998279998</v>
      </c>
      <c r="H33" s="9" t="s">
        <v>31</v>
      </c>
      <c r="I33" s="9" t="s">
        <v>31</v>
      </c>
      <c r="J33" s="9" t="s">
        <v>31</v>
      </c>
      <c r="K33" s="10" t="s">
        <v>31</v>
      </c>
    </row>
    <row r="34" spans="2:11" x14ac:dyDescent="0.35">
      <c r="B34" s="34">
        <v>2500</v>
      </c>
      <c r="C34" s="24">
        <v>536.40689842800009</v>
      </c>
      <c r="D34" s="9">
        <v>551.41480227960005</v>
      </c>
      <c r="E34" s="9">
        <v>566.42270613120013</v>
      </c>
      <c r="F34" s="9">
        <v>581.43060998279998</v>
      </c>
      <c r="G34" s="9">
        <v>596.43851383440006</v>
      </c>
      <c r="H34" s="9" t="s">
        <v>31</v>
      </c>
      <c r="I34" s="9" t="s">
        <v>31</v>
      </c>
      <c r="J34" s="9" t="s">
        <v>31</v>
      </c>
      <c r="K34" s="10" t="s">
        <v>31</v>
      </c>
    </row>
    <row r="35" spans="2:11" ht="15" thickBot="1" x14ac:dyDescent="0.4">
      <c r="B35" s="35">
        <v>2600</v>
      </c>
      <c r="C35" s="11">
        <v>551.41480227960005</v>
      </c>
      <c r="D35" s="12">
        <v>566.42270613120013</v>
      </c>
      <c r="E35" s="12">
        <v>581.43060998279998</v>
      </c>
      <c r="F35" s="12">
        <v>596.43851383440006</v>
      </c>
      <c r="G35" s="12">
        <v>611.44641768600013</v>
      </c>
      <c r="H35" s="12" t="s">
        <v>31</v>
      </c>
      <c r="I35" s="12" t="s">
        <v>31</v>
      </c>
      <c r="J35" s="12" t="s">
        <v>31</v>
      </c>
      <c r="K35" s="13" t="s">
        <v>31</v>
      </c>
    </row>
    <row r="36" spans="2:11" ht="7.25" customHeight="1" thickTop="1" thickBot="1" x14ac:dyDescent="0.4"/>
    <row r="37" spans="2:11" ht="15" thickTop="1" x14ac:dyDescent="0.35">
      <c r="C37" s="148" t="s">
        <v>8</v>
      </c>
      <c r="D37" s="149"/>
      <c r="E37" s="149"/>
      <c r="F37" s="152" t="s">
        <v>9</v>
      </c>
      <c r="G37" s="149"/>
      <c r="H37" s="149"/>
      <c r="I37" s="152" t="s">
        <v>10</v>
      </c>
      <c r="J37" s="149"/>
      <c r="K37" s="153"/>
    </row>
    <row r="38" spans="2:11" x14ac:dyDescent="0.35">
      <c r="C38" s="160" t="s">
        <v>11</v>
      </c>
      <c r="D38" s="161"/>
      <c r="E38" s="161"/>
      <c r="F38" s="154">
        <v>75.239999999999995</v>
      </c>
      <c r="G38" s="155"/>
      <c r="H38" s="155"/>
      <c r="I38" s="154">
        <v>91.96</v>
      </c>
      <c r="J38" s="155"/>
      <c r="K38" s="156"/>
    </row>
    <row r="39" spans="2:11" x14ac:dyDescent="0.35">
      <c r="C39" s="160" t="s">
        <v>12</v>
      </c>
      <c r="D39" s="161"/>
      <c r="E39" s="161"/>
      <c r="F39" s="154">
        <v>29.26</v>
      </c>
      <c r="G39" s="155"/>
      <c r="H39" s="155"/>
      <c r="I39" s="154">
        <v>36.575000000000003</v>
      </c>
      <c r="J39" s="155"/>
      <c r="K39" s="156"/>
    </row>
    <row r="40" spans="2:11" x14ac:dyDescent="0.35">
      <c r="C40" s="160" t="s">
        <v>13</v>
      </c>
      <c r="D40" s="161"/>
      <c r="E40" s="161"/>
      <c r="F40" s="154">
        <v>60.61</v>
      </c>
      <c r="G40" s="155"/>
      <c r="H40" s="155"/>
      <c r="I40" s="154">
        <v>74.194999999999993</v>
      </c>
      <c r="J40" s="155"/>
      <c r="K40" s="156"/>
    </row>
    <row r="41" spans="2:11" ht="15" thickBot="1" x14ac:dyDescent="0.4">
      <c r="C41" s="150" t="s">
        <v>14</v>
      </c>
      <c r="D41" s="151"/>
      <c r="E41" s="151"/>
      <c r="F41" s="157">
        <v>99.275000000000006</v>
      </c>
      <c r="G41" s="158"/>
      <c r="H41" s="158"/>
      <c r="I41" s="157">
        <v>120.175</v>
      </c>
      <c r="J41" s="158"/>
      <c r="K41" s="159"/>
    </row>
    <row r="42" spans="2:11" ht="15.5" thickTop="1" thickBot="1" x14ac:dyDescent="0.4"/>
    <row r="43" spans="2:11" ht="15" thickTop="1" x14ac:dyDescent="0.35">
      <c r="B43" s="148" t="s">
        <v>15</v>
      </c>
      <c r="C43" s="171"/>
      <c r="D43" s="171"/>
      <c r="E43" s="171"/>
      <c r="F43" s="171"/>
      <c r="G43" s="171"/>
      <c r="H43" s="171"/>
      <c r="I43" s="171"/>
      <c r="J43" s="171"/>
      <c r="K43" s="172"/>
    </row>
    <row r="44" spans="2:11" x14ac:dyDescent="0.35">
      <c r="B44" s="173" t="s">
        <v>16</v>
      </c>
      <c r="C44" s="174"/>
      <c r="D44" s="174" t="s">
        <v>17</v>
      </c>
      <c r="E44" s="174"/>
      <c r="F44" s="174" t="s">
        <v>18</v>
      </c>
      <c r="G44" s="174"/>
      <c r="H44" s="174" t="s">
        <v>19</v>
      </c>
      <c r="I44" s="174"/>
      <c r="J44" s="174" t="s">
        <v>20</v>
      </c>
      <c r="K44" s="175"/>
    </row>
    <row r="45" spans="2:11" x14ac:dyDescent="0.35">
      <c r="B45" s="173" t="s">
        <v>21</v>
      </c>
      <c r="C45" s="174"/>
      <c r="D45" s="174" t="s">
        <v>22</v>
      </c>
      <c r="E45" s="174"/>
      <c r="F45" s="174" t="s">
        <v>22</v>
      </c>
      <c r="G45" s="174"/>
      <c r="H45" s="174" t="s">
        <v>23</v>
      </c>
      <c r="I45" s="174"/>
      <c r="J45" s="174" t="s">
        <v>24</v>
      </c>
      <c r="K45" s="175"/>
    </row>
    <row r="46" spans="2:11" ht="15" thickBot="1" x14ac:dyDescent="0.4">
      <c r="B46" s="176" t="s">
        <v>25</v>
      </c>
      <c r="C46" s="177"/>
      <c r="D46" s="177" t="s">
        <v>26</v>
      </c>
      <c r="E46" s="177"/>
      <c r="F46" s="177"/>
      <c r="G46" s="177"/>
      <c r="H46" s="177"/>
      <c r="I46" s="177"/>
      <c r="J46" s="177"/>
      <c r="K46" s="178"/>
    </row>
    <row r="47" spans="2:11" ht="15" thickTop="1" x14ac:dyDescent="0.35"/>
    <row r="48" spans="2:11" ht="18.5" x14ac:dyDescent="0.45">
      <c r="B48" s="113" t="s">
        <v>1</v>
      </c>
      <c r="C48" s="113"/>
      <c r="D48" s="113"/>
      <c r="E48" s="113"/>
      <c r="F48" s="113"/>
      <c r="G48" s="113"/>
      <c r="H48" s="113"/>
      <c r="I48" s="113"/>
      <c r="J48" s="113"/>
      <c r="K48" s="113"/>
    </row>
  </sheetData>
  <mergeCells count="52">
    <mergeCell ref="I16:K16"/>
    <mergeCell ref="C17:E17"/>
    <mergeCell ref="F17:H17"/>
    <mergeCell ref="I17:K17"/>
    <mergeCell ref="B48:K48"/>
    <mergeCell ref="B46:C46"/>
    <mergeCell ref="D46:E46"/>
    <mergeCell ref="F46:G46"/>
    <mergeCell ref="H46:I46"/>
    <mergeCell ref="J46:K46"/>
    <mergeCell ref="B45:C45"/>
    <mergeCell ref="D45:E45"/>
    <mergeCell ref="F45:G45"/>
    <mergeCell ref="H45:I45"/>
    <mergeCell ref="J45:K45"/>
    <mergeCell ref="B43:K43"/>
    <mergeCell ref="B44:C44"/>
    <mergeCell ref="D44:E44"/>
    <mergeCell ref="F44:G44"/>
    <mergeCell ref="H44:I44"/>
    <mergeCell ref="J44:K44"/>
    <mergeCell ref="C40:E40"/>
    <mergeCell ref="F40:H40"/>
    <mergeCell ref="I40:K40"/>
    <mergeCell ref="C41:E41"/>
    <mergeCell ref="F41:H41"/>
    <mergeCell ref="I41:K41"/>
    <mergeCell ref="A1:K1"/>
    <mergeCell ref="C4:K4"/>
    <mergeCell ref="C19:K19"/>
    <mergeCell ref="C28:K28"/>
    <mergeCell ref="A2:K2"/>
    <mergeCell ref="C13:E13"/>
    <mergeCell ref="F13:H13"/>
    <mergeCell ref="I13:K13"/>
    <mergeCell ref="C14:E14"/>
    <mergeCell ref="F14:H14"/>
    <mergeCell ref="I14:K14"/>
    <mergeCell ref="C15:E15"/>
    <mergeCell ref="F15:H15"/>
    <mergeCell ref="I15:K15"/>
    <mergeCell ref="C16:E16"/>
    <mergeCell ref="F16:H16"/>
    <mergeCell ref="C39:E39"/>
    <mergeCell ref="F39:H39"/>
    <mergeCell ref="I39:K39"/>
    <mergeCell ref="C37:E37"/>
    <mergeCell ref="F37:H37"/>
    <mergeCell ref="I37:K37"/>
    <mergeCell ref="C38:E38"/>
    <mergeCell ref="F38:H38"/>
    <mergeCell ref="I38:K38"/>
  </mergeCells>
  <pageMargins left="3.937007874015748E-2" right="3.937007874015748E-2" top="0.23622047244094491" bottom="0.23622047244094491" header="0.11811023622047245" footer="0.1181102362204724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Supascreen</vt:lpstr>
      <vt:lpstr>Data Sheet SS</vt:lpstr>
      <vt:lpstr> IntrudaGuard</vt:lpstr>
      <vt:lpstr>Date Sheet IG </vt:lpstr>
      <vt:lpstr>Retail Supply Extras</vt:lpstr>
      <vt:lpstr>7mm Diamond</vt:lpstr>
      <vt:lpstr>Data Sheet Grille</vt:lpstr>
      <vt:lpstr>Fly Screens</vt:lpstr>
      <vt:lpstr>DATA_Fly Screens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Anthony Bialocerkowski</cp:lastModifiedBy>
  <cp:lastPrinted>2026-05-17T04:44:14Z</cp:lastPrinted>
  <dcterms:created xsi:type="dcterms:W3CDTF">2018-03-14T12:07:59Z</dcterms:created>
  <dcterms:modified xsi:type="dcterms:W3CDTF">2026-05-17T04:44:42Z</dcterms:modified>
</cp:coreProperties>
</file>